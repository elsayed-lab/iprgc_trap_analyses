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<sst xmlns="http://schemas.openxmlformats.org/spreadsheetml/2006/main" count="1522" uniqueCount="512">
  <si>
    <t xml:space="preserve">sampleid</t>
  </si>
  <si>
    <t xml:space="preserve">genotype</t>
  </si>
  <si>
    <t xml:space="preserve">location</t>
  </si>
  <si>
    <t xml:space="preserve">time</t>
  </si>
  <si>
    <t xml:space="preserve">condition</t>
  </si>
  <si>
    <t xml:space="preserve">cellcompartment</t>
  </si>
  <si>
    <t xml:space="preserve">raw_r1</t>
  </si>
  <si>
    <t xml:space="preserve">raw_r2</t>
  </si>
  <si>
    <t xml:space="preserve">batch</t>
  </si>
  <si>
    <t xml:space="preserve">date_received</t>
  </si>
  <si>
    <t xml:space="preserve">het_number</t>
  </si>
  <si>
    <t xml:space="preserve">bio_replicate</t>
  </si>
  <si>
    <t xml:space="preserve">tech_replicate</t>
  </si>
  <si>
    <t xml:space="preserve">file</t>
  </si>
  <si>
    <t xml:space="preserve">symlink</t>
  </si>
  <si>
    <t xml:space="preserve">salmonfile</t>
  </si>
  <si>
    <t xml:space="preserve">total reads</t>
  </si>
  <si>
    <t xml:space="preserve">trim1_both_surviving</t>
  </si>
  <si>
    <t xml:space="preserve">trim1_suriving_pct</t>
  </si>
  <si>
    <t xml:space="preserve">trim1_forward</t>
  </si>
  <si>
    <t xml:space="preserve">trim1_reverse</t>
  </si>
  <si>
    <t xml:space="preserve">trim1_dropped</t>
  </si>
  <si>
    <t xml:space="preserve">trim2_remaining</t>
  </si>
  <si>
    <t xml:space="preserve">trim2_surviving_pct</t>
  </si>
  <si>
    <t xml:space="preserve">trim2_trimmed</t>
  </si>
  <si>
    <t xml:space="preserve">trim2_trimmed_pct</t>
  </si>
  <si>
    <t xml:space="preserve">hisat_aligned_Cogent_single</t>
  </si>
  <si>
    <t xml:space="preserve">hisat_aligned_Cogent_multi</t>
  </si>
  <si>
    <t xml:space="preserve">hisat_aligned_Cogent_pct</t>
  </si>
  <si>
    <t xml:space="preserve">rRNA_aligned_single</t>
  </si>
  <si>
    <t xml:space="preserve">rRNA_aligned_single_pct</t>
  </si>
  <si>
    <t xml:space="preserve">rRNA_aligned_multi</t>
  </si>
  <si>
    <t xml:space="preserve">rRNA_aligned_multi_pct</t>
  </si>
  <si>
    <t xml:space="preserve">rRNA_not_aligned</t>
  </si>
  <si>
    <t xml:space="preserve">rRNA_not_aligned_pct</t>
  </si>
  <si>
    <t xml:space="preserve">hisat_single</t>
  </si>
  <si>
    <t xml:space="preserve">hisat_multi</t>
  </si>
  <si>
    <t xml:space="preserve">hisat_map_pct</t>
  </si>
  <si>
    <t xml:space="preserve">hisat_mapped_total_reads</t>
  </si>
  <si>
    <t xml:space="preserve">genes observed</t>
  </si>
  <si>
    <t xml:space="preserve">Project # AH</t>
  </si>
  <si>
    <t xml:space="preserve">Sample # AH</t>
  </si>
  <si>
    <t xml:space="preserve"> Rashmi’s Sample Name AH</t>
  </si>
  <si>
    <t xml:space="preserve">Library Prep. &amp; Cleanup AH</t>
  </si>
  <si>
    <t xml:space="preserve">Sequencing Run AH</t>
  </si>
  <si>
    <t xml:space="preserve">Read 1 AH</t>
  </si>
  <si>
    <t xml:space="preserve">Read 2 AH</t>
  </si>
  <si>
    <t xml:space="preserve">Download &amp; Map Again?</t>
  </si>
  <si>
    <t xml:space="preserve">genotype_atb</t>
  </si>
  <si>
    <t xml:space="preserve">location_atb</t>
  </si>
  <si>
    <t xml:space="preserve">time_atb</t>
  </si>
  <si>
    <t xml:space="preserve">geno_loc_atb</t>
  </si>
  <si>
    <t xml:space="preserve">time_geno_location_source_atb</t>
  </si>
  <si>
    <t xml:space="preserve">rashmi_code</t>
  </si>
  <si>
    <t xml:space="preserve">atb_observed_location</t>
  </si>
  <si>
    <t xml:space="preserve">iprgc_62</t>
  </si>
  <si>
    <t xml:space="preserve">het</t>
  </si>
  <si>
    <t xml:space="preserve">dlgn</t>
  </si>
  <si>
    <t xml:space="preserve">p15</t>
  </si>
  <si>
    <t xml:space="preserve">het_dlgn</t>
  </si>
  <si>
    <t xml:space="preserve">axon</t>
  </si>
  <si>
    <t xml:space="preserve">P15_Het_dLGN_S1A_S16_R1_001.fastq.gz</t>
  </si>
  <si>
    <t xml:space="preserve">P15_Het_dLGN_S1A_S16_R2_001.fastq.gz</t>
  </si>
  <si>
    <t xml:space="preserve">b20220518</t>
  </si>
  <si>
    <t xml:space="preserve">preprocessing_new/iprgc_62/Cogent/outputs/40hisat2_mm38_100/mm38_100_genome-paired_gene_sno_gene_ID.count.xz</t>
  </si>
  <si>
    <t xml:space="preserve">preprocessing/preprocessing_new_taa/iprgc_62/Cogent/outputs/40hisat2_mm38_100/mm38_100_genome-paired_gene_sno_gene_ID.count.xz</t>
  </si>
  <si>
    <t xml:space="preserve">021_1</t>
  </si>
  <si>
    <t xml:space="preserve">P15_Het_dLGN_S1A</t>
  </si>
  <si>
    <t xml:space="preserve">successful</t>
  </si>
  <si>
    <t xml:space="preserve">220517_VL00136_33_AAC23JWM5</t>
  </si>
  <si>
    <t xml:space="preserve">AH filename</t>
  </si>
  <si>
    <t xml:space="preserve">S1A</t>
  </si>
  <si>
    <t xml:space="preserve">iprgc_63</t>
  </si>
  <si>
    <t xml:space="preserve">P15_Het_dLGN_S2A_S17_R1_001.fastq.gz</t>
  </si>
  <si>
    <t xml:space="preserve">P15_Het_dLGN_S2A_S17_R2_001.fastq.gz</t>
  </si>
  <si>
    <t xml:space="preserve">preprocessing_new/iprgc_63/Cogent/outputs/40hisat2_mm38_100/mm38_100_genome-paired_gene_sno_gene_ID.count.xz</t>
  </si>
  <si>
    <t xml:space="preserve">preprocessing/preprocessing_new_taa/iprgc_63/Cogent/outputs/40hisat2_mm38_100/mm38_100_genome-paired_gene_sno_gene_ID.count.xz</t>
  </si>
  <si>
    <t xml:space="preserve">P15_Het_dLGN_S2A</t>
  </si>
  <si>
    <t xml:space="preserve">S2A</t>
  </si>
  <si>
    <t xml:space="preserve">iprgc_64</t>
  </si>
  <si>
    <t xml:space="preserve">retina</t>
  </si>
  <si>
    <t xml:space="preserve">het_retina</t>
  </si>
  <si>
    <t xml:space="preserve">soma</t>
  </si>
  <si>
    <t xml:space="preserve">P15_Het_Ret_S1A_S7_R1_001.fastq.gz</t>
  </si>
  <si>
    <t xml:space="preserve">P15_Het_Ret_S1A_S7_R2_001.fastq.gz</t>
  </si>
  <si>
    <t xml:space="preserve">preprocessing_new/iprgc_64/Cogent/outputs/40hisat2_mm38_100/mm38_100_genome-paired_gene_sno_gene_ID.count.xz</t>
  </si>
  <si>
    <t xml:space="preserve">preprocessing/preprocessing_new_taa/iprgc_64/Cogent/outputs/40hisat2_mm38_100/mm38_100_genome-paired_gene_sno_gene_ID.count.xz</t>
  </si>
  <si>
    <t xml:space="preserve">P15_Het_Ret_S1A</t>
  </si>
  <si>
    <t xml:space="preserve">iprgc_65</t>
  </si>
  <si>
    <t xml:space="preserve">P15_Het_Ret_S2A_S8_R1_001.fastq.gz</t>
  </si>
  <si>
    <t xml:space="preserve">P15_Het_Ret_S2A_S8_R2_001.fastq.gz</t>
  </si>
  <si>
    <t xml:space="preserve">preprocessing_new/iprgc_65/Cogent/outputs/40hisat2_mm38_100/mm38_100_genome-paired_gene_sno_gene_ID.count.xz</t>
  </si>
  <si>
    <t xml:space="preserve">preprocessing/preprocessing_new_taa/iprgc_65/Cogent/outputs/40hisat2_mm38_100/mm38_100_genome-paired_gene_sno_gene_ID.count.xz</t>
  </si>
  <si>
    <t xml:space="preserve">P15_Het_Ret_S2A</t>
  </si>
  <si>
    <t xml:space="preserve">iprgc_66</t>
  </si>
  <si>
    <t xml:space="preserve">scn</t>
  </si>
  <si>
    <t xml:space="preserve">het_scn</t>
  </si>
  <si>
    <t xml:space="preserve">P15_Het_SCN_S1A_S21_R1_001.fastq.gz</t>
  </si>
  <si>
    <t xml:space="preserve">P15_Het_SCN_S1A_S21_R2_001.fastq.gz</t>
  </si>
  <si>
    <t xml:space="preserve">preprocessing_new/iprgc_66/Cogent/outputs/40hisat2_mm38_100/mm38_100_genome-paired_gene_sno_gene_ID.count.xz</t>
  </si>
  <si>
    <t xml:space="preserve">preprocessing/preprocessing_new_taa/iprgc_66/Cogent/outputs/40hisat2_mm38_100/mm38_100_genome-paired_gene_sno_gene_ID.count.xz</t>
  </si>
  <si>
    <t xml:space="preserve">P15_Het_SCN_S1A</t>
  </si>
  <si>
    <t xml:space="preserve">iprgc_67</t>
  </si>
  <si>
    <t xml:space="preserve">P15_Het_SCN_S2A_S22_R1_001.fastq.gz</t>
  </si>
  <si>
    <t xml:space="preserve">P15_Het_SCN_S2A_S22_R2_001.fastq.gz</t>
  </si>
  <si>
    <t xml:space="preserve">preprocessing_new/iprgc_67/Cogent/outputs/40hisat2_mm38_100/mm38_100_genome-paired_gene_sno_gene_ID.count.xz</t>
  </si>
  <si>
    <t xml:space="preserve">preprocessing/preprocessing_new_taa/iprgc_67/Cogent/outputs/40hisat2_mm38_100/mm38_100_genome-paired_gene_sno_gene_ID.count.xz</t>
  </si>
  <si>
    <t xml:space="preserve">P15_Het_SCN_S2A</t>
  </si>
  <si>
    <t xml:space="preserve">iprgc_68</t>
  </si>
  <si>
    <t xml:space="preserve">ko</t>
  </si>
  <si>
    <t xml:space="preserve">ko_dlgn</t>
  </si>
  <si>
    <t xml:space="preserve">P15_KO_dLGN_S1A_S18_R1_001.fastq.gz</t>
  </si>
  <si>
    <t xml:space="preserve">P15_KO_dLGN_S1A_S18_R2_001.fastq.gz</t>
  </si>
  <si>
    <t xml:space="preserve">preprocessing_new/iprgc_68/Cogent/outputs/40hisat2_mm38_100/mm38_100_genome-paired_gene_sno_gene_ID.count.xz</t>
  </si>
  <si>
    <t xml:space="preserve">preprocessing/preprocessing_new_taa/iprgc_68/Cogent/outputs/40hisat2_mm38_100/mm38_100_genome-paired_gene_sno_gene_ID.count.xz</t>
  </si>
  <si>
    <t xml:space="preserve">P15_KO_dLGN_S1A</t>
  </si>
  <si>
    <t xml:space="preserve">iprgc_69</t>
  </si>
  <si>
    <t xml:space="preserve">ko_retina</t>
  </si>
  <si>
    <t xml:space="preserve">P15_KO_Ret_S1A_S9_R1_001.fastq.gz</t>
  </si>
  <si>
    <t xml:space="preserve">P15_KO_Ret_S1A_S9_R2_001.fastq.gz</t>
  </si>
  <si>
    <t xml:space="preserve">preprocessing_new/iprgc_69/Cogent/outputs/40hisat2_mm38_100/mm38_100_genome-paired_gene_sno_gene_ID.count.xz</t>
  </si>
  <si>
    <t xml:space="preserve">preprocessing/preprocessing_new_taa/iprgc_69/Cogent/outputs/40hisat2_mm38_100/mm38_100_genome-paired_gene_sno_gene_ID.count.xz</t>
  </si>
  <si>
    <t xml:space="preserve">P15_KO_Ret_S1A</t>
  </si>
  <si>
    <t xml:space="preserve">iprgc_70</t>
  </si>
  <si>
    <t xml:space="preserve">ko_scn</t>
  </si>
  <si>
    <t xml:space="preserve">P15_KO_SCN_S1A_S23_R1_001.fastq.gz</t>
  </si>
  <si>
    <t xml:space="preserve">P15_KO_SCN_S1A_S23_R2_001.fastq.gz</t>
  </si>
  <si>
    <t xml:space="preserve">preprocessing_new/iprgc_70/Cogent/outputs/40hisat2_mm38_100/mm38_100_genome-paired_gene_sno_gene_ID.count.xz</t>
  </si>
  <si>
    <t xml:space="preserve">preprocessing/preprocessing_new_taa/iprgc_70/Cogent/outputs/40hisat2_mm38_100/mm38_100_genome-paired_gene_sno_gene_ID.count.xz</t>
  </si>
  <si>
    <t xml:space="preserve">P15_KO_SCN_S1A</t>
  </si>
  <si>
    <t xml:space="preserve">iprgc_71</t>
  </si>
  <si>
    <t xml:space="preserve">wt</t>
  </si>
  <si>
    <t xml:space="preserve">wt_dlgn</t>
  </si>
  <si>
    <t xml:space="preserve">P15_WT_dLGN_S1A_S12_R1_001.fastq.gz</t>
  </si>
  <si>
    <t xml:space="preserve">P15_WT_dLGN_S1A_S12_R2_001.fastq.gz</t>
  </si>
  <si>
    <t xml:space="preserve">preprocessing_new/iprgc_71/Cogent/outputs/40hisat2_mm38_100/mm38_100_genome-paired_gene_sno_gene_ID.count.xz</t>
  </si>
  <si>
    <t xml:space="preserve">preprocessing/preprocessing_new_taa/iprgc_71/Cogent/outputs/40hisat2_mm38_100/mm38_100_genome-paired_gene_sno_gene_ID.count.xz</t>
  </si>
  <si>
    <t xml:space="preserve">P15_WT_dLGN_S1A</t>
  </si>
  <si>
    <t xml:space="preserve">iprgc_72</t>
  </si>
  <si>
    <t xml:space="preserve">P15_WT_dLGN_S2A_S13_R1_001.fastq.gz</t>
  </si>
  <si>
    <t xml:space="preserve">P15_WT_dLGN_S2A_S13_R2_001.fastq.gz</t>
  </si>
  <si>
    <t xml:space="preserve">preprocessing_new/iprgc_72/Cogent/outputs/40hisat2_mm38_100/mm38_100_genome-paired_gene_sno_gene_ID.count.xz</t>
  </si>
  <si>
    <t xml:space="preserve">preprocessing/preprocessing_new_taa/iprgc_72/Cogent/outputs/40hisat2_mm38_100/mm38_100_genome-paired_gene_sno_gene_ID.count.xz</t>
  </si>
  <si>
    <t xml:space="preserve">P15_WT_dLGN_S2A</t>
  </si>
  <si>
    <t xml:space="preserve">iprgc_73</t>
  </si>
  <si>
    <t xml:space="preserve">P15_WT_dLGN_S3A_S14_R1_001.fastq.gz</t>
  </si>
  <si>
    <t xml:space="preserve">P15_WT_dLGN_S3A_S14_R2_001.fastq.gz</t>
  </si>
  <si>
    <t xml:space="preserve">preprocessing_new/iprgc_73/Cogent/outputs/40hisat2_mm38_100/mm38_100_genome-paired_gene_sno_gene_ID.count.xz</t>
  </si>
  <si>
    <t xml:space="preserve">preprocessing/preprocessing_new_taa/iprgc_73/Cogent/outputs/40hisat2_mm38_100/mm38_100_genome-paired_gene_sno_gene_ID.count.xz</t>
  </si>
  <si>
    <t xml:space="preserve">P15_WT_dLGN_S3A</t>
  </si>
  <si>
    <t xml:space="preserve">S3A</t>
  </si>
  <si>
    <t xml:space="preserve">iprgc_74</t>
  </si>
  <si>
    <t xml:space="preserve">wt_retina</t>
  </si>
  <si>
    <t xml:space="preserve">P15_WT_Ret_S1A_S3_R1_001.fastq.gz</t>
  </si>
  <si>
    <t xml:space="preserve">P15_WT_Ret_S1A_S3_R2_001.fastq.gz</t>
  </si>
  <si>
    <t xml:space="preserve">preprocessing_new/iprgc_74/Cogent/outputs/40hisat2_mm38_100/mm38_100_genome-paired_gene_sno_gene_ID.count.xz</t>
  </si>
  <si>
    <t xml:space="preserve">preprocessing/preprocessing_new_taa/iprgc_74/Cogent/outputs/40hisat2_mm38_100/mm38_100_genome-paired_gene_sno_gene_ID.count.xz</t>
  </si>
  <si>
    <t xml:space="preserve">P15_WT_Ret_S1A</t>
  </si>
  <si>
    <t xml:space="preserve">iprgc_75</t>
  </si>
  <si>
    <t xml:space="preserve">P15_WT_Ret_S2A_S4_R1_001.fastq.gz</t>
  </si>
  <si>
    <t xml:space="preserve">P15_WT_Ret_S2A_S4_R2_001.fastq.gz</t>
  </si>
  <si>
    <t xml:space="preserve">preprocessing_new/iprgc_75/Cogent/outputs/40hisat2_mm38_100/mm38_100_genome-paired_gene_sno_gene_ID.count.xz</t>
  </si>
  <si>
    <t xml:space="preserve">preprocessing/preprocessing_new_taa/iprgc_75/Cogent/outputs/40hisat2_mm38_100/mm38_100_genome-paired_gene_sno_gene_ID.count.xz</t>
  </si>
  <si>
    <t xml:space="preserve">P15_WT_Ret_S2A</t>
  </si>
  <si>
    <t xml:space="preserve">iprgc_76</t>
  </si>
  <si>
    <t xml:space="preserve">P15_WT_Ret_S3A_S5_R1_001.fastq.gz</t>
  </si>
  <si>
    <t xml:space="preserve">P15_WT_Ret_S3A_S5_R2_001.fastq.gz</t>
  </si>
  <si>
    <t xml:space="preserve">preprocessing_new/iprgc_76/Cogent/outputs/40hisat2_mm38_100/mm38_100_genome-paired_gene_sno_gene_ID.count.xz</t>
  </si>
  <si>
    <t xml:space="preserve">preprocessing/preprocessing_new_taa/iprgc_76/Cogent/outputs/40hisat2_mm38_100/mm38_100_genome-paired_gene_sno_gene_ID.count.xz</t>
  </si>
  <si>
    <t xml:space="preserve">P15_WT_Ret_S3A</t>
  </si>
  <si>
    <t xml:space="preserve">iprgc_77</t>
  </si>
  <si>
    <t xml:space="preserve">wt_scn</t>
  </si>
  <si>
    <t xml:space="preserve">P15_WT_SCN_S3A_S19_R1_001.fastq.gz</t>
  </si>
  <si>
    <t xml:space="preserve">P15_WT_SCN_S3A_S19_R2_001.fastq.gz</t>
  </si>
  <si>
    <t xml:space="preserve">preprocessing_new/iprgc_77/Cogent/outputs/40hisat2_mm38_100/mm38_100_genome-paired_gene_sno_gene_ID.count.xz</t>
  </si>
  <si>
    <t xml:space="preserve">preprocessing/preprocessing_new_taa/iprgc_77/Cogent/outputs/40hisat2_mm38_100/mm38_100_genome-paired_gene_sno_gene_ID.count.xz</t>
  </si>
  <si>
    <t xml:space="preserve">P15_WT_SCN_S3A</t>
  </si>
  <si>
    <t xml:space="preserve">iprgc_78</t>
  </si>
  <si>
    <t xml:space="preserve">p60</t>
  </si>
  <si>
    <t xml:space="preserve">P60_WT_dLGN_S1A_S15_R1_001.fastq.gz</t>
  </si>
  <si>
    <t xml:space="preserve">P60_WT_dLGN_S1A_S15_R2_001.fastq.gz</t>
  </si>
  <si>
    <t xml:space="preserve">preprocessing_new/iprgc_78/Cogent/outputs/40hisat2_mm38_100/mm38_100_genome-paired_gene_sno_gene_ID.count.xz</t>
  </si>
  <si>
    <t xml:space="preserve">preprocessing/preprocessing_new_taa/iprgc_78/Cogent/outputs/40hisat2_mm38_100/mm38_100_genome-paired_gene_sno_gene_ID.count.xz</t>
  </si>
  <si>
    <t xml:space="preserve">P60_WT_dLGN_S1A</t>
  </si>
  <si>
    <t xml:space="preserve">iprgc_79</t>
  </si>
  <si>
    <t xml:space="preserve">P60_WT_Ret_S1A_S6_R1_001.fastq.gz</t>
  </si>
  <si>
    <t xml:space="preserve">P60_WT_Ret_S1A_S6_R2_001.fastq.gz</t>
  </si>
  <si>
    <t xml:space="preserve">preprocessing_new/iprgc_79/Cogent/outputs/40hisat2_mm38_100/mm38_100_genome-paired_gene_sno_gene_ID.count.xz</t>
  </si>
  <si>
    <t xml:space="preserve">preprocessing/preprocessing_new_taa/iprgc_79/Cogent/outputs/40hisat2_mm38_100/mm38_100_genome-paired_gene_sno_gene_ID.count.xz</t>
  </si>
  <si>
    <t xml:space="preserve">P60_WT_Ret_S1A</t>
  </si>
  <si>
    <t xml:space="preserve">iprgc_80</t>
  </si>
  <si>
    <t xml:space="preserve">P60_WT_SCN_S1A_S20_R1_001.fastq.gz</t>
  </si>
  <si>
    <t xml:space="preserve">P60_WT_SCN_S1A_S20_R2_001.fastq.gz</t>
  </si>
  <si>
    <t xml:space="preserve">preprocessing_new/iprgc_80/Cogent/outputs/40hisat2_mm38_100/mm38_100_genome-paired_gene_sno_gene_ID.count.xz</t>
  </si>
  <si>
    <t xml:space="preserve">preprocessing/preprocessing_new_taa/iprgc_80/Cogent/outputs/40hisat2_mm38_100/mm38_100_genome-paired_gene_sno_gene_ID.count.xz</t>
  </si>
  <si>
    <t xml:space="preserve">P60_WT_SCN_S1A</t>
  </si>
  <si>
    <t xml:space="preserve">iprgc_81</t>
  </si>
  <si>
    <t xml:space="preserve">p08</t>
  </si>
  <si>
    <t xml:space="preserve">P8_WT_dLGN_S1A_S10_R1_001.fastq.gz</t>
  </si>
  <si>
    <t xml:space="preserve">P8_WT_dLGN_S1A_S10_R2_001.fastq.gz</t>
  </si>
  <si>
    <t xml:space="preserve">preprocessing/iprgc_81/Cogent/outputs/40hisat2_mm38_100/mm38_100_genome-paired_gene_sno_gene_ID.count.xz</t>
  </si>
  <si>
    <t xml:space="preserve">preprocessing/preprocessing_taa/iprgc_81/Cogent/outputs/40hisat2_mm38_100/mm38_100_genome-paired_gene_sno_gene_ID.count.xz</t>
  </si>
  <si>
    <t xml:space="preserve">P8_WT_dLGN_S1A</t>
  </si>
  <si>
    <t xml:space="preserve">iprgc_82</t>
  </si>
  <si>
    <t xml:space="preserve">P8_WT_dLGN_S2A_S11_R1_001.fastq.gz</t>
  </si>
  <si>
    <t xml:space="preserve">P8_WT_dLGN_S2A_S11_R2_001.fastq.gz</t>
  </si>
  <si>
    <t xml:space="preserve">preprocessing/iprgc_82/Cogent/outputs/40hisat2_mm38_100/mm38_100_genome-paired_gene_sno_gene_ID.count.xz</t>
  </si>
  <si>
    <t xml:space="preserve">preprocessing/preprocessing_taa/iprgc_82/Cogent/outputs/40hisat2_mm38_100/mm38_100_genome-paired_gene_sno_gene_ID.count.xz</t>
  </si>
  <si>
    <t xml:space="preserve">P8_WT_dLGN_S2A</t>
  </si>
  <si>
    <t xml:space="preserve">iprgc_83</t>
  </si>
  <si>
    <t xml:space="preserve">P8_WT_Ret_S1A_S1_R1_001.fastq.gz</t>
  </si>
  <si>
    <t xml:space="preserve">P8_WT_Ret_S1A_S1_R2_001.fastq.gz</t>
  </si>
  <si>
    <t xml:space="preserve">preprocessing/iprgc_83/Cogent/outputs/40hisat2_mm38_100/mm38_100_genome-paired_gene_sno_gene_ID.count.xz</t>
  </si>
  <si>
    <t xml:space="preserve">preprocessing/preprocessing_taa/iprgc_83/Cogent/outputs/40hisat2_mm38_100/mm38_100_genome-paired_gene_sno_gene_ID.count.xz</t>
  </si>
  <si>
    <t xml:space="preserve">P8_WT_Ret_S1A</t>
  </si>
  <si>
    <t xml:space="preserve">iprgc_84</t>
  </si>
  <si>
    <t xml:space="preserve">P8_WT_Ret_S2A_S2_R1_001.fastq.gz</t>
  </si>
  <si>
    <t xml:space="preserve">P8_WT_Ret_S2A_S2_R2_001.fastq.gz</t>
  </si>
  <si>
    <t xml:space="preserve">preprocessing/iprgc_84/Cogent/outputs/40hisat2_mm38_100/mm38_100_genome-paired_gene_sno_gene_ID.count.xz</t>
  </si>
  <si>
    <t xml:space="preserve">preprocessing/preprocessing_taa/iprgc_84/Cogent/outputs/40hisat2_mm38_100/mm38_100_genome-paired_gene_sno_gene_ID.count.xz</t>
  </si>
  <si>
    <t xml:space="preserve">P8_WT_Ret_S2A</t>
  </si>
  <si>
    <t xml:space="preserve">iprgc_85</t>
  </si>
  <si>
    <t xml:space="preserve">P8_KO_SCN_S1A_S12_R1_001.fastq.gz</t>
  </si>
  <si>
    <t xml:space="preserve">P8_KO_SCN_S1A_S12_R2_001.fastq.gz</t>
  </si>
  <si>
    <t xml:space="preserve">b20230515</t>
  </si>
  <si>
    <t xml:space="preserve">preprocessing/preprocessing_taa/iprgc_85/outputs/40hisat2_mm38_100/mm38_100_genome-paired_sno_gene_gene_id.count.xz</t>
  </si>
  <si>
    <t xml:space="preserve">LIKELY PCT mRNA CONTENT</t>
  </si>
  <si>
    <t xml:space="preserve">021_2</t>
  </si>
  <si>
    <t xml:space="preserve">P8_KO_SCN_S1A</t>
  </si>
  <si>
    <t xml:space="preserve">230412_VL00136_54_AACLVMTM5/Analysis/2/</t>
  </si>
  <si>
    <t xml:space="preserve">P8_KO_SCN_S1A_S12_L001_R1_001.fastq.gz</t>
  </si>
  <si>
    <t xml:space="preserve">P8_KO_SCN_S1A_S12_L001_R2_001.fastq.gz</t>
  </si>
  <si>
    <t xml:space="preserve">yes, repeated demux</t>
  </si>
  <si>
    <t xml:space="preserve">iprgc_86</t>
  </si>
  <si>
    <t xml:space="preserve">P8_KO_Ret_S1A_S10_R1_001.fastq.gz</t>
  </si>
  <si>
    <t xml:space="preserve">P8_KO_Ret_S1A_S10_R2_001.fastq.gz</t>
  </si>
  <si>
    <t xml:space="preserve">preprocessing/preprocessing_taa/iprgc_86/outputs/40hisat2_mm38_100/mm38_100_genome-paired_sno_gene_gene_id.count.xz</t>
  </si>
  <si>
    <t xml:space="preserve">P8_KO_Ret_S1A</t>
  </si>
  <si>
    <t xml:space="preserve">P8_KO_Ret_S1A_S10_L001_R1_001.fastq.gz</t>
  </si>
  <si>
    <t xml:space="preserve">P8_KO_Ret_S1A_S10_L001_R2_001.fastq.gz</t>
  </si>
  <si>
    <t xml:space="preserve">iprgc_87</t>
  </si>
  <si>
    <t xml:space="preserve">P8_KO_dLGN_S1A_S11_R1_001.fastq.gz</t>
  </si>
  <si>
    <t xml:space="preserve">P8_KO_dLGN_S1A_S11_R2_001.fastq.gz</t>
  </si>
  <si>
    <t xml:space="preserve">preprocessing/preprocessing_taa/iprgc_87/outputs/40hisat2_mm38_100/mm38_100_genome-paired_sno_gene_gene_id.count.xz</t>
  </si>
  <si>
    <t xml:space="preserve">P8_KO_dLGN_S1A</t>
  </si>
  <si>
    <t xml:space="preserve">P8_KO_dLGN_S1A_S11_L001_R1_001.fastq.gz</t>
  </si>
  <si>
    <t xml:space="preserve">P8_KO_dLGN_S1A_S11_L001_R2_001.fastq.gz</t>
  </si>
  <si>
    <t xml:space="preserve">iprgc_88</t>
  </si>
  <si>
    <t xml:space="preserve">P8_Het_dLGN_S1A_S8_R1_001.fastq.gz</t>
  </si>
  <si>
    <t xml:space="preserve">P8_Het_dLGN_S1A_S8_R2_001.fastq.gz</t>
  </si>
  <si>
    <t xml:space="preserve">preprocessing/preprocessing_taa/iprgc_88/outputs/40hisat2_mm38_100/mm38_100_genome-paired_sno_gene_gene_id.count.xz</t>
  </si>
  <si>
    <t xml:space="preserve">P8_Het_dLGN_S1A</t>
  </si>
  <si>
    <t xml:space="preserve">P8_Het_dLGN_S1A_S8_L001_R1_001.fastq.gz</t>
  </si>
  <si>
    <t xml:space="preserve">P8_Het_dLGN_S1A_S8_L001_R2_001.fastq.gz</t>
  </si>
  <si>
    <t xml:space="preserve">iprgc_89</t>
  </si>
  <si>
    <t xml:space="preserve">P8_Het_SCN_S1A_S9_R1_001.fastq.gz</t>
  </si>
  <si>
    <t xml:space="preserve">P8_Het_SCN_S1A_S9_R2_001.fastq.gz</t>
  </si>
  <si>
    <t xml:space="preserve">preprocessing/preprocessing_taa/iprgc_89/outputs/40hisat2_mm38_100/mm38_100_genome-paired_sno_gene_gene_id.count.xz</t>
  </si>
  <si>
    <t xml:space="preserve">P8_Het_SCN_S1A</t>
  </si>
  <si>
    <t xml:space="preserve">P8_Het_SCN_S1A_S9_L001_R1_001.fastq.gz</t>
  </si>
  <si>
    <t xml:space="preserve">P8_Het_SCN_S1A_S9_L001_R2_001.fastq.gz</t>
  </si>
  <si>
    <t xml:space="preserve">iprgc_90</t>
  </si>
  <si>
    <t xml:space="preserve">P8_Het_Ret_S1A_S7_R1_001.fastq.gz</t>
  </si>
  <si>
    <t xml:space="preserve">P8_Het_Ret_S1A_S7_R2_001.fastq.gz</t>
  </si>
  <si>
    <t xml:space="preserve">preprocessing/preprocessing_taa/iprgc_90/outputs/40hisat2_mm38_100/mm38_100_genome-paired_sno_gene_gene_id.count.xz</t>
  </si>
  <si>
    <t xml:space="preserve">P8_Het_Ret_S1A</t>
  </si>
  <si>
    <t xml:space="preserve">P8_Het_Ret_S1A_S7_L001_R1_001.fastq.gz</t>
  </si>
  <si>
    <t xml:space="preserve">P8_Het_Ret_S1A_S7_L001_R2_001.fastq.gz</t>
  </si>
  <si>
    <t xml:space="preserve">iprgc_91</t>
  </si>
  <si>
    <t xml:space="preserve">preprocessing/preprocessing_taa/iprgc_91/outputs/40hisat2_mm38_100/mm38_100_genome-paired_sno_gene_gene_id.count.xz</t>
  </si>
  <si>
    <t xml:space="preserve">P8_WT_Ret_S1A_S1_L001_R1_001.fastq.gz</t>
  </si>
  <si>
    <t xml:space="preserve">P8_WT_Ret_S1A_S1_L001_R2_001.fastq.gz</t>
  </si>
  <si>
    <t xml:space="preserve">iprgc_92</t>
  </si>
  <si>
    <t xml:space="preserve">P8_WT_dLGN_S1A_S2_R1_001.fastq.gz</t>
  </si>
  <si>
    <t xml:space="preserve">P8_WT_dLGN_S1A_S2_R2_001.fastq.gz</t>
  </si>
  <si>
    <t xml:space="preserve">preprocessing/preprocessing_taa/iprgc_92/outputs/40hisat2_mm38_100/mm38_100_genome-paired_sno_gene_gene_id.count.xz</t>
  </si>
  <si>
    <t xml:space="preserve">P8_WT_dLGN_S1A_S2_L001_R1_001.fastq.gz</t>
  </si>
  <si>
    <t xml:space="preserve">P8_WT_dLGN_S1A_S2_L001_R2_001.fastq.gz</t>
  </si>
  <si>
    <t xml:space="preserve">iprgc_93</t>
  </si>
  <si>
    <t xml:space="preserve">P8_WT_SCN_S1A_S3_R1_001.fastq.gz</t>
  </si>
  <si>
    <t xml:space="preserve">P8_WT_SCN_S1A_S3_R2_001.fastq.gz</t>
  </si>
  <si>
    <t xml:space="preserve">preprocessing/preprocessing_taa/iprgc_93/outputs/40hisat2_mm38_100/mm38_100_genome-paired_sno_gene_gene_id.count.xz</t>
  </si>
  <si>
    <t xml:space="preserve">P8_WT_SCN_S1A</t>
  </si>
  <si>
    <t xml:space="preserve">P8_WT_SCN_S1A_S3_L001_R1_001.fastq.gz</t>
  </si>
  <si>
    <t xml:space="preserve">P8_WT_SCN_S1A_S3_L001_R2_001.fastq.gz</t>
  </si>
  <si>
    <t xml:space="preserve">iprgc_94</t>
  </si>
  <si>
    <t xml:space="preserve">P15_Het_dLGN_S1B_S17_R1_001.fastq.gz</t>
  </si>
  <si>
    <t xml:space="preserve">P15_Het_dLGN_S1B_S17_R2_001.fastq.gz</t>
  </si>
  <si>
    <t xml:space="preserve">preprocessing/preprocessing_taa/iprgc_94/outputs/40hisat2_mm38_100/mm38_100_genome-paired_sno_gene_gene_id.count.xz</t>
  </si>
  <si>
    <t xml:space="preserve">P15_Het_dLGN_S1B</t>
  </si>
  <si>
    <t xml:space="preserve">P15_Het_dLGN_S1B_S17_L001_R1_001.fastq.gz</t>
  </si>
  <si>
    <t xml:space="preserve">P15_Het_dLGN_S1B_S17_L001_R2_001.fastq.gz</t>
  </si>
  <si>
    <t xml:space="preserve">S1B</t>
  </si>
  <si>
    <t xml:space="preserve">iprgc_95</t>
  </si>
  <si>
    <t xml:space="preserve">P15_Het_SCN_S1B_S18_R1_001.fastq.gz</t>
  </si>
  <si>
    <t xml:space="preserve">P15_Het_SCN_S1B_S18_R2_001.fastq.gz</t>
  </si>
  <si>
    <t xml:space="preserve">b20230516</t>
  </si>
  <si>
    <t xml:space="preserve">preprocessing/preprocessing_taa/iprgc_95/outputs/40hisat2_mm38_100/mm38_100_genome-paired_sno_gene_gene_id.count.xz</t>
  </si>
  <si>
    <t xml:space="preserve">P15_Het_SCN_S1B</t>
  </si>
  <si>
    <t xml:space="preserve">P15_Het_SCN_S1B_S18_L001_R1_001.fastq.gz</t>
  </si>
  <si>
    <t xml:space="preserve">P15_Het_SCN_S1B_S18_L001_R2_001.fastq.gz</t>
  </si>
  <si>
    <t xml:space="preserve">iprgc_96</t>
  </si>
  <si>
    <t xml:space="preserve">P15_Het_Ret_S1B_S16_R1_001.fastq.gz</t>
  </si>
  <si>
    <t xml:space="preserve">P15_Het_Ret_S1B_S16_R2_001.fastq.gz</t>
  </si>
  <si>
    <t xml:space="preserve">b20230517</t>
  </si>
  <si>
    <t xml:space="preserve">preprocessing/preprocessing_taa/iprgc_96/outputs/40hisat2_mm38_100/mm38_100_genome-paired_sno_gene_gene_id.count.xz</t>
  </si>
  <si>
    <t xml:space="preserve">P15_Het_Ret_S1B</t>
  </si>
  <si>
    <t xml:space="preserve">P15_Het_Ret_S1B_S16_L001_R1_001.fastq.gz</t>
  </si>
  <si>
    <t xml:space="preserve">P15_Het_Ret_S1B_S16_L001_R2_001.fastq.gz</t>
  </si>
  <si>
    <t xml:space="preserve">iprgc_97</t>
  </si>
  <si>
    <t xml:space="preserve">P15_WT_SCN_S1A_S6_R1_001.fastq.gz</t>
  </si>
  <si>
    <t xml:space="preserve">P15_WT_SCN_S1A_S6_R2_001.fastq.gz</t>
  </si>
  <si>
    <t xml:space="preserve">b20230518</t>
  </si>
  <si>
    <t xml:space="preserve">preprocessing/preprocessing_taa/iprgc_97/outputs/40hisat2_mm38_100/mm38_100_genome-paired_sno_gene_gene_id.count.xz</t>
  </si>
  <si>
    <t xml:space="preserve">P15_WT_SCN_S1A</t>
  </si>
  <si>
    <t xml:space="preserve">P15_WT_SCN_S1A_S6_L001_R1_001.fastq.gz</t>
  </si>
  <si>
    <t xml:space="preserve">P15_WT_SCN_S1A_S6_L001_R2_001.fastq.gz</t>
  </si>
  <si>
    <t xml:space="preserve">iprgc_98</t>
  </si>
  <si>
    <t xml:space="preserve">P15_WT_dLGN_S1A_S5_R1_001.fastq.gz</t>
  </si>
  <si>
    <t xml:space="preserve">P15_WT_dLGN_S1A_S5_R2_001.fastq.gz</t>
  </si>
  <si>
    <t xml:space="preserve">b20230519</t>
  </si>
  <si>
    <t xml:space="preserve">preprocessing/preprocessing_taa/iprgc_98/outputs/40hisat2_mm38_100/mm38_100_genome-paired_sno_gene_gene_id.count.xz</t>
  </si>
  <si>
    <t xml:space="preserve">P15_WT_dLGN_S1A_S5_L001_R1_001.fastq.gz</t>
  </si>
  <si>
    <t xml:space="preserve">P15_WT_dLGN_S1A_S5_L001_R2_001.fastq.gz</t>
  </si>
  <si>
    <t xml:space="preserve">iprgc_99</t>
  </si>
  <si>
    <t xml:space="preserve">P15_WT_Ret_S1A_S4_R1_001.fastq.gz</t>
  </si>
  <si>
    <t xml:space="preserve">P15_WT_Ret_S1A_S4_R2_001.fastq.gz</t>
  </si>
  <si>
    <t xml:space="preserve">b20230520</t>
  </si>
  <si>
    <t xml:space="preserve">preprocessing/preprocessing_taa/iprgc_99/outputs/40hisat2_mm38_100/mm38_100_genome-paired_sno_gene_gene_id.count.xz</t>
  </si>
  <si>
    <t xml:space="preserve">P15_WT_Ret_S1A_S4_L001_R1_001.fastq.gz</t>
  </si>
  <si>
    <t xml:space="preserve">P15_WT_Ret_S1A_S4_L001_R2_001.fastq.gz</t>
  </si>
  <si>
    <t xml:space="preserve">iprgc_100</t>
  </si>
  <si>
    <t xml:space="preserve">P15_KO_dLGN_S1A_S14_R1_001.fastq.gz</t>
  </si>
  <si>
    <t xml:space="preserve">P15_KO_dLGN_S1A_S14_R2_001.fastq.gz</t>
  </si>
  <si>
    <t xml:space="preserve">b20230521</t>
  </si>
  <si>
    <t xml:space="preserve">preprocessing/preprocessing_taa/iprgc_100/outputs/40hisat2_mm38_100/mm38_100_genome-paired_sno_gene_gene_id.count.xz</t>
  </si>
  <si>
    <t xml:space="preserve">P15_KO_dLGN_S1A_S14_L001_R1_001.fastq.gz</t>
  </si>
  <si>
    <t xml:space="preserve">P15_KO_dLGN_S1A_S14_L001_R2_001.fastq.gz</t>
  </si>
  <si>
    <t xml:space="preserve">iprgc_101</t>
  </si>
  <si>
    <t xml:space="preserve">P15_KO_Ret_S1A_S13_R1_001.fastq.gz</t>
  </si>
  <si>
    <t xml:space="preserve">P15_KO_Ret_S1A_S13_R2_001.fastq.gz</t>
  </si>
  <si>
    <t xml:space="preserve">b20230522</t>
  </si>
  <si>
    <t xml:space="preserve">preprocessing/preprocessing_taa/iprgc_101/outputs/40hisat2_mm38_100/mm38_100_genome-paired_sno_gene_gene_id.count.xz</t>
  </si>
  <si>
    <t xml:space="preserve">P15_KO_Ret_S1A_S13_L001_R1_001.fastq.gz</t>
  </si>
  <si>
    <t xml:space="preserve">P15_KO_Ret_S1A_S13_L001_R2_001.fastq.gz</t>
  </si>
  <si>
    <t xml:space="preserve">iprgc_102</t>
  </si>
  <si>
    <t xml:space="preserve">P15_KO_SCN_S1A_S15_R1_001.fastq.gz</t>
  </si>
  <si>
    <t xml:space="preserve">P15_KO_SCN_S1A_S15_R2_001.fastq.gz</t>
  </si>
  <si>
    <t xml:space="preserve">b20230523</t>
  </si>
  <si>
    <t xml:space="preserve">preprocessing/preprocessing_taa/iprgc_102/outputs/40hisat2_mm38_100/mm38_100_genome-paired_sno_gene_gene_id.count.xz</t>
  </si>
  <si>
    <t xml:space="preserve">P15_KO_SCN_S1A_S15_L001_R1_001.fastq.gz</t>
  </si>
  <si>
    <t xml:space="preserve">P15_KO_SCN_S1A_S15_L001_R2_001.fastq.gz</t>
  </si>
  <si>
    <t xml:space="preserve">iprgc_103</t>
  </si>
  <si>
    <t xml:space="preserve">10c_P8_Het_SCN_S2_S20_R1_001.fastq.gz</t>
  </si>
  <si>
    <t xml:space="preserve">10c_P8_Het_SCN_S2_S20_R2_001.fastq.gz</t>
  </si>
  <si>
    <t xml:space="preserve">b20231010</t>
  </si>
  <si>
    <t xml:space="preserve">preprocessing/preprocessing_taa/iprgc_103/outputs/40hisat2_mm38_100/mm38_100_genome-paired_sno_gene_gene_id.count.xz</t>
  </si>
  <si>
    <t xml:space="preserve">TAA Filename</t>
  </si>
  <si>
    <t xml:space="preserve">iprgc_104</t>
  </si>
  <si>
    <t xml:space="preserve">13b_P8_Het_dLGN_S2_S6_R1_001.fastq.gz</t>
  </si>
  <si>
    <t xml:space="preserve">13b_P8_Het_dLGN_S2_S6_R2_001.fastq.gz</t>
  </si>
  <si>
    <t xml:space="preserve">preprocessing/preprocessing_taa/iprgc_104/outputs/40hisat2_mm38_100/mm38_100_genome-paired_sno_gene_gene_id.count.xz</t>
  </si>
  <si>
    <t xml:space="preserve">021_3</t>
  </si>
  <si>
    <t xml:space="preserve">13b</t>
  </si>
  <si>
    <t xml:space="preserve">P8_Het_dLGN_S2</t>
  </si>
  <si>
    <t xml:space="preserve">231004_VL00136_73_AACWYG2M5/Analysis/1/</t>
  </si>
  <si>
    <t xml:space="preserve">S2</t>
  </si>
  <si>
    <t xml:space="preserve">iprgc_105</t>
  </si>
  <si>
    <t xml:space="preserve">14b_P8_Het_dLGN_S3_S7_R1_001.fastq.gz</t>
  </si>
  <si>
    <t xml:space="preserve">14b_P8_Het_dLGN_S3_S7_R2_001.fastq.gz</t>
  </si>
  <si>
    <t xml:space="preserve">preprocessing/preprocessing_taa/iprgc_105/outputs/40hisat2_mm38_100/mm38_100_genome-paired_sno_gene_gene_id.count.xz</t>
  </si>
  <si>
    <t xml:space="preserve">14b</t>
  </si>
  <si>
    <t xml:space="preserve">P8_Het_dLGN_S3</t>
  </si>
  <si>
    <t xml:space="preserve">S3</t>
  </si>
  <si>
    <t xml:space="preserve">iprgc_106</t>
  </si>
  <si>
    <t xml:space="preserve">15b_P15_Het_dLGN_S2_S8_R1_001.fastq.gz </t>
  </si>
  <si>
    <t xml:space="preserve">15b_P15_Het_dLGN_S2_S8_R2_001.fastq.gz </t>
  </si>
  <si>
    <t xml:space="preserve">preprocessing/preprocessing_taa/iprgc_106/outputs/40hisat2_mm38_100/mm38_100_genome-paired_sno_gene_gene_id.count.xz</t>
  </si>
  <si>
    <t xml:space="preserve">15b</t>
  </si>
  <si>
    <t xml:space="preserve">P15_Het_dLGN_S2</t>
  </si>
  <si>
    <t xml:space="preserve">15b_P15_Het_dLGN_S2_S8_R1_001.fastq.gz</t>
  </si>
  <si>
    <t xml:space="preserve">15b_P15_Het_dLGN_S2_S8_R2_001.fastq.gz</t>
  </si>
  <si>
    <t xml:space="preserve">iprgc_107</t>
  </si>
  <si>
    <t xml:space="preserve">16_P8_KO_dLGN_S2_S9_R1_001.fastq.gz</t>
  </si>
  <si>
    <t xml:space="preserve">16_P8_KO_dLGN_S2_S9_R2_001.fastq.gz</t>
  </si>
  <si>
    <t xml:space="preserve">preprocessing/preprocessing_taa/iprgc_107/outputs/40hisat2_mm38_100/mm38_100_genome-paired_sno_gene_gene_id.count.xz</t>
  </si>
  <si>
    <t xml:space="preserve">P8_KO_dLGN_S2</t>
  </si>
  <si>
    <t xml:space="preserve">iprgc_108</t>
  </si>
  <si>
    <t xml:space="preserve">18_P15_KO_dLGN_S2_S10_R1_001.fastq.gz</t>
  </si>
  <si>
    <t xml:space="preserve">18_P15_KO_dLGN_S2_S10_R2_001.fastq.gz</t>
  </si>
  <si>
    <t xml:space="preserve">preprocessing/preprocessing_taa/iprgc_108/outputs/40hisat2_mm38_100/mm38_100_genome-paired_sno_gene_gene_id.count.xz</t>
  </si>
  <si>
    <t xml:space="preserve">P15_KO_dLGN_S2</t>
  </si>
  <si>
    <t xml:space="preserve">iprgc_109</t>
  </si>
  <si>
    <t xml:space="preserve">1b_P8_WT_Ret_S2_S16_R1_001.fastq.gz</t>
  </si>
  <si>
    <t xml:space="preserve">1b_P8_WT_Ret_S2_S16_R2_001.fastq.gz</t>
  </si>
  <si>
    <t xml:space="preserve">preprocessing/preprocessing_taa/iprgc_109/outputs/40hisat2_mm38_100/mm38_100_genome-paired_sno_gene_gene_id.count.xz</t>
  </si>
  <si>
    <t xml:space="preserve">1b</t>
  </si>
  <si>
    <t xml:space="preserve">P8_WT_Ret_S2</t>
  </si>
  <si>
    <t xml:space="preserve">iprgc_110</t>
  </si>
  <si>
    <t xml:space="preserve">22b_P8_Het_SCN_S2_S11_R1_001.fastq.gz</t>
  </si>
  <si>
    <t xml:space="preserve">22b_P8_Het_SCN_S2_S11_R2_001.fastq.gz</t>
  </si>
  <si>
    <t xml:space="preserve">preprocessing/preprocessing_taa/iprgc_110/outputs/40hisat2_mm38_100/mm38_100_genome-paired_sno_gene_gene_id.count.xz</t>
  </si>
  <si>
    <t xml:space="preserve">22b</t>
  </si>
  <si>
    <t xml:space="preserve">P8_Het_SCN_S2</t>
  </si>
  <si>
    <t xml:space="preserve">iprgc_111</t>
  </si>
  <si>
    <t xml:space="preserve">23b_P8_Het_SCN_S3_S12_R1_001.fastq.gz</t>
  </si>
  <si>
    <t xml:space="preserve">23b_P8_Het_SCN_S3_S12_R2_001.fastq.gz</t>
  </si>
  <si>
    <t xml:space="preserve">preprocessing/preprocessing_taa/iprgc_111/outputs/40hisat2_mm38_100/mm38_100_genome-paired_sno_gene_gene_id.count.xz</t>
  </si>
  <si>
    <t xml:space="preserve">23b</t>
  </si>
  <si>
    <t xml:space="preserve">P8_Het_SCN_S3</t>
  </si>
  <si>
    <t xml:space="preserve">iprgc_112</t>
  </si>
  <si>
    <t xml:space="preserve">24b_P15_Het_SCN_S2_S13_R1_001.fastq.gz</t>
  </si>
  <si>
    <t xml:space="preserve">24b_P15_Het_SCN_S2_S13_R2_001.fastq.gz</t>
  </si>
  <si>
    <t xml:space="preserve">preprocessing/preprocessing_taa/iprgc_112/outputs/40hisat2_mm38_100/mm38_100_genome-paired_sno_gene_gene_id.count.xz</t>
  </si>
  <si>
    <t xml:space="preserve">24b</t>
  </si>
  <si>
    <t xml:space="preserve">P15_Het_SCN_S2</t>
  </si>
  <si>
    <t xml:space="preserve">iprgc_113</t>
  </si>
  <si>
    <t xml:space="preserve">25_P8_KO_SCN_S2_S14_R1_001.fastq.gz</t>
  </si>
  <si>
    <t xml:space="preserve">25_P8_KO_SCN_S2_S14_R2_001.fastq.gz</t>
  </si>
  <si>
    <t xml:space="preserve">preprocessing/preprocessing_taa/iprgc_113/outputs/40hisat2_mm38_100/mm38_100_genome-paired_sno_gene_gene_id.count.xz</t>
  </si>
  <si>
    <t xml:space="preserve">P8_KO_SCN_S2</t>
  </si>
  <si>
    <t xml:space="preserve">iprgc_114</t>
  </si>
  <si>
    <t xml:space="preserve">27_P15_KO_SCN_S2_S15_R1_001.fastq.gz</t>
  </si>
  <si>
    <t xml:space="preserve">27_P15_KO_SCN_S2_S15_R2_001.fastq.gz</t>
  </si>
  <si>
    <t xml:space="preserve">preprocessing/preprocessing_taa/iprgc_114/outputs/40hisat2_mm38_100/mm38_100_genome-paired_sno_gene_gene_id.count.xz</t>
  </si>
  <si>
    <t xml:space="preserve">P15_KO_SCN_S2</t>
  </si>
  <si>
    <t xml:space="preserve">iprgc_115</t>
  </si>
  <si>
    <t xml:space="preserve">2b_P8_WT_Ret_S3_S17_R1_001.fastq.gz</t>
  </si>
  <si>
    <t xml:space="preserve">2b_P8_WT_Ret_S3_S17_R2_001.fastq.gz</t>
  </si>
  <si>
    <t xml:space="preserve">preprocessing/preprocessing_taa/iprgc_115/outputs/40hisat2_mm38_100/mm38_100_genome-paired_sno_gene_gene_id.count.xz</t>
  </si>
  <si>
    <t xml:space="preserve">2b</t>
  </si>
  <si>
    <t xml:space="preserve">P8_WT_Ret_S3</t>
  </si>
  <si>
    <t xml:space="preserve">iprgc_116</t>
  </si>
  <si>
    <t xml:space="preserve">3b_P15_WT_Ret_S3_S18_R1_001.fastq.gz</t>
  </si>
  <si>
    <t xml:space="preserve">3b_P15_WT_Ret_S3_S18_R2_001.fastq.gz</t>
  </si>
  <si>
    <t xml:space="preserve">preprocessing/preprocessing_taa/iprgc_116/outputs/40hisat2_mm38_100/mm38_100_genome-paired_sno_gene_gene_id.count.xz</t>
  </si>
  <si>
    <t xml:space="preserve">3b</t>
  </si>
  <si>
    <t xml:space="preserve">P15_WT_Ret_S3</t>
  </si>
  <si>
    <t xml:space="preserve">iprgc_117</t>
  </si>
  <si>
    <t xml:space="preserve">4b_P8_Het_Ret_S2_S1_R1_001.fastq.gz</t>
  </si>
  <si>
    <t xml:space="preserve">4b_P8_Het_Ret_S2_S1_R2_001.fastq.gz</t>
  </si>
  <si>
    <t xml:space="preserve">preprocessing/preprocessing_taa/iprgc_117/outputs/40hisat2_mm38_100/mm38_100_genome-paired_sno_gene_gene_id.count.xz</t>
  </si>
  <si>
    <t xml:space="preserve">4b</t>
  </si>
  <si>
    <t xml:space="preserve">P8_Het_Ret_S2</t>
  </si>
  <si>
    <t xml:space="preserve">iprgc_118</t>
  </si>
  <si>
    <t xml:space="preserve">5_P8_Het_Ret_S3_S2_R1_001.fastq.gz </t>
  </si>
  <si>
    <t xml:space="preserve">5_P8_Het_Ret_S3_S2_R2_001.fastq.gz </t>
  </si>
  <si>
    <t xml:space="preserve">preprocessing/preprocessing_taa/iprgc_118/outputs/40hisat2_mm38_100/mm38_100_genome-paired_sno_gene_gene_id.count.xz</t>
  </si>
  <si>
    <t xml:space="preserve">P8_Het_Ret_S3</t>
  </si>
  <si>
    <t xml:space="preserve">5_P8_Het_Ret_S3_S2_R1_001.fastq.gz</t>
  </si>
  <si>
    <t xml:space="preserve">5_P8_Het_Ret_S3_S2_R2_001.fastq.gz</t>
  </si>
  <si>
    <t xml:space="preserve">iprgc_119</t>
  </si>
  <si>
    <t xml:space="preserve">6b_P15_Het_Ret_S2_S3_R1_001.fastq.gz</t>
  </si>
  <si>
    <t xml:space="preserve">6b_P15_Het_Ret_S2_S3_R2_001.fastq.gz</t>
  </si>
  <si>
    <t xml:space="preserve">preprocessing/preprocessing_taa/iprgc_119/outputs/40hisat2_mm38_100/mm38_100_genome-paired_sno_gene_gene_id.count.xz</t>
  </si>
  <si>
    <t xml:space="preserve">6b</t>
  </si>
  <si>
    <t xml:space="preserve">P15_Het_Ret_S2</t>
  </si>
  <si>
    <t xml:space="preserve">iprgc_120</t>
  </si>
  <si>
    <t xml:space="preserve">7_P8_KO_Ret_S2_S4_R1_001.fastq.gz</t>
  </si>
  <si>
    <t xml:space="preserve">7_P8_KO_Ret_S2_S4_R2_001.fastq.gz</t>
  </si>
  <si>
    <t xml:space="preserve">preprocessing/preprocessing_taa/iprgc_120/outputs/40hisat2_mm38_100/mm38_100_genome-paired_sno_gene_gene_id.count.xz</t>
  </si>
  <si>
    <t xml:space="preserve">P8_KO_Ret_S2</t>
  </si>
  <si>
    <t xml:space="preserve">iprgc_121</t>
  </si>
  <si>
    <t xml:space="preserve">8_P8_KO_Ret_S3_S19_R1_001.fastq.gz</t>
  </si>
  <si>
    <t xml:space="preserve">8_P8_KO_Ret_S3_S19_R2_001.fastq.gz</t>
  </si>
  <si>
    <t xml:space="preserve">preprocessing/preprocessing_taa/iprgc_121/outputs/40hisat2_mm38_100/mm38_100_genome-paired_sno_gene_gene_id.count.xz</t>
  </si>
  <si>
    <t xml:space="preserve">P8_KO_Ret_S3</t>
  </si>
  <si>
    <t xml:space="preserve">iprgc_122</t>
  </si>
  <si>
    <t xml:space="preserve">9_P15_KO_Ret_S2_S5_R1_001.fastq.gz</t>
  </si>
  <si>
    <t xml:space="preserve">9_P15_KO_Ret_S2_S5_R2_001.fastq.gz</t>
  </si>
  <si>
    <t xml:space="preserve">preprocessing/preprocessing_taa/iprgc_122/outputs/40hisat2_mm38_100/mm38_100_genome-paired_sno_gene_gene_id.count.xz</t>
  </si>
  <si>
    <t xml:space="preserve">P15_KO_Ret_S2</t>
  </si>
  <si>
    <t xml:space="preserve">iprgc_123</t>
  </si>
  <si>
    <t xml:space="preserve">P8_KO_dLGN_S3</t>
  </si>
  <si>
    <t xml:space="preserve">231006_VL00136_74_AACY7TGM5/Analysis/1/</t>
  </si>
  <si>
    <t xml:space="preserve">17_P8_KO_dLGN_S3_S3_R1_001.fastq.gz</t>
  </si>
  <si>
    <t xml:space="preserve">17_P8_KO_dLGN_S3_S3_R2_001.fastq.gz</t>
  </si>
  <si>
    <t xml:space="preserve">iprgc_124</t>
  </si>
  <si>
    <t xml:space="preserve">P8_KO_SCN_S3</t>
  </si>
  <si>
    <t xml:space="preserve">26_P8_KO_SCN_S3_S7_R1_001.fastq.gz</t>
  </si>
  <si>
    <t xml:space="preserve">26_P8_KO_SCN_S3_S7_R2_001.fastq.gz</t>
  </si>
  <si>
    <t xml:space="preserve">iprgc_125</t>
  </si>
  <si>
    <t xml:space="preserve">10c</t>
  </si>
  <si>
    <t xml:space="preserve">P8_WT_dLGN_S2</t>
  </si>
  <si>
    <t xml:space="preserve">10c_P8_WT_dLGN_S2_S20_R1_001.fastq.gz</t>
  </si>
  <si>
    <t xml:space="preserve">10c_P8_WT_dLGN_S2_S20_R2_001.fastq.gz</t>
  </si>
  <si>
    <t xml:space="preserve">yes, same file renamed</t>
  </si>
  <si>
    <t xml:space="preserve">iprgc_126</t>
  </si>
  <si>
    <t xml:space="preserve">11c</t>
  </si>
  <si>
    <t xml:space="preserve">P8_WT_dLGN_S3</t>
  </si>
  <si>
    <t xml:space="preserve">11c_P8_WT_dLGN_S3_S1_R1_001.fastq.gz</t>
  </si>
  <si>
    <t xml:space="preserve">11c_P8_WT_dLGN_S3_S1_R2_001.fastq.gz</t>
  </si>
  <si>
    <t xml:space="preserve">iprgc_127</t>
  </si>
  <si>
    <t xml:space="preserve">12b</t>
  </si>
  <si>
    <t xml:space="preserve">P15_WT_dLGN_S3</t>
  </si>
  <si>
    <t xml:space="preserve">12b_P15_WT_dLGN_S3_S2_R1_001.fastq.gz</t>
  </si>
  <si>
    <t xml:space="preserve">12b_P15_WT_dLGN_S3_S2_R2_001.fastq.gz</t>
  </si>
  <si>
    <t xml:space="preserve">iprgc_128</t>
  </si>
  <si>
    <t xml:space="preserve">19c</t>
  </si>
  <si>
    <t xml:space="preserve">P8_WT_SCN_S2</t>
  </si>
  <si>
    <t xml:space="preserve">19c_P8_WT_SCN_S2_S4_R1_001.fastq.gz</t>
  </si>
  <si>
    <t xml:space="preserve">19c_P8_WT_SCN_S2_S4_R2_001.fastq.gz</t>
  </si>
  <si>
    <t xml:space="preserve">iprgc_129</t>
  </si>
  <si>
    <t xml:space="preserve">20c</t>
  </si>
  <si>
    <t xml:space="preserve">P8_WT_SCN_S3</t>
  </si>
  <si>
    <t xml:space="preserve">20c_P8_WT_SCN_S3_S5_R1_001.fastq.gz</t>
  </si>
  <si>
    <t xml:space="preserve">20c_P8_WT_SCN_S3_S5_R2_001.fastq.gz</t>
  </si>
  <si>
    <t xml:space="preserve">iprgc_130</t>
  </si>
  <si>
    <t xml:space="preserve">21b</t>
  </si>
  <si>
    <t xml:space="preserve">P15_WT_SCN_S3</t>
  </si>
  <si>
    <t xml:space="preserve">21b_P15_WT_SCN_S3_S6_R1_001.fastq.gz</t>
  </si>
  <si>
    <t xml:space="preserve">21b_P15_WT_SCN_S3_S6_R2_001.fastq.gz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</si>
</sst>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rgb="FFA7074B"/>
      <name val="Arial"/>
      <family val="2"/>
      <charset val="1"/>
    </font>
    <font>
      <sz val="12"/>
      <name val="Ubuntu Mono"/>
      <family val="0"/>
      <charset val="1"/>
    </font>
    <font>
      <sz val="12"/>
      <color rgb="FF222222"/>
      <name val="Arial"/>
      <family val="2"/>
      <charset val="1"/>
    </font>
    <font>
      <b val="true"/>
      <sz val="12"/>
      <color rgb="FFC9211E"/>
      <name val="Arial"/>
      <family val="2"/>
      <charset val="1"/>
    </font>
    <font>
      <sz val="12"/>
      <color rgb="FF5B277D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9" tint="0.5999"/>
        <bgColor rgb="FFBDD7EE"/>
      </patternFill>
    </fill>
    <fill>
      <patternFill patternType="solid">
        <fgColor rgb="FF00B0F0"/>
        <bgColor rgb="FF33CCCC"/>
      </patternFill>
    </fill>
    <fill>
      <patternFill patternType="solid">
        <fgColor theme="8" tint="0.7999"/>
        <bgColor rgb="FFCCFFFF"/>
      </patternFill>
    </fill>
    <fill>
      <patternFill patternType="solid">
        <fgColor theme="7" tint="0.39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5E0B4"/>
      </patternFill>
    </fill>
    <fill>
      <patternFill patternType="solid">
        <fgColor rgb="FF3465A4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A7074B"/>
      <rgbColor rgb="FF008080"/>
      <rgbColor rgb="FFC5E0B4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C9211E"/>
      <rgbColor rgb="FF993366"/>
      <rgbColor rgb="FF5B277D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L32" activePane="bottomRight" state="frozen"/>
      <selection pane="topLeft" activeCell="A1" activeCellId="0" sqref="A1"/>
      <selection pane="topRight" activeCell="L1" activeCellId="0" sqref="L1"/>
      <selection pane="bottomLeft" activeCell="A32" activeCellId="0" sqref="A32"/>
      <selection pane="bottomRight" activeCell="O65" activeCellId="0" sqref="O65"/>
    </sheetView>
  </sheetViews>
  <sheetFormatPr defaultColWidth="11.5078125" defaultRowHeight="15" zeroHeight="false" outlineLevelRow="0" outlineLevelCol="0"/>
  <cols>
    <col collapsed="false" customWidth="true" hidden="false" outlineLevel="0" max="1" min="1" style="1" width="20"/>
    <col collapsed="false" customWidth="false" hidden="false" outlineLevel="0" max="6" min="2" style="1" width="11.5"/>
    <col collapsed="false" customWidth="true" hidden="false" outlineLevel="0" max="7" min="7" style="1" width="47.02"/>
    <col collapsed="false" customWidth="true" hidden="false" outlineLevel="0" max="8" min="8" style="1" width="53.84"/>
    <col collapsed="false" customWidth="true" hidden="false" outlineLevel="0" max="9" min="9" style="1" width="16.55"/>
    <col collapsed="false" customWidth="true" hidden="false" outlineLevel="0" max="10" min="10" style="1" width="15.16"/>
    <col collapsed="false" customWidth="true" hidden="false" outlineLevel="0" max="11" min="11" style="1" width="12.16"/>
    <col collapsed="false" customWidth="true" hidden="false" outlineLevel="0" max="12" min="12" style="1" width="16.5"/>
    <col collapsed="false" customWidth="true" hidden="false" outlineLevel="0" max="13" min="13" style="1" width="16.16"/>
    <col collapsed="false" customWidth="true" hidden="false" outlineLevel="0" max="14" min="14" style="1" width="104.5"/>
    <col collapsed="false" customWidth="true" hidden="false" outlineLevel="0" max="16" min="15" style="1" width="91.52"/>
    <col collapsed="false" customWidth="false" hidden="false" outlineLevel="0" max="17" min="17" style="1" width="11.5"/>
    <col collapsed="false" customWidth="true" hidden="false" outlineLevel="0" max="18" min="18" style="1" width="18.34"/>
    <col collapsed="false" customWidth="true" hidden="false" outlineLevel="0" max="19" min="19" style="1" width="16.33"/>
    <col collapsed="false" customWidth="true" hidden="false" outlineLevel="0" max="21" min="20" style="1" width="12.5"/>
    <col collapsed="false" customWidth="true" hidden="false" outlineLevel="0" max="22" min="22" style="1" width="12.33"/>
    <col collapsed="false" customWidth="true" hidden="false" outlineLevel="0" max="23" min="23" style="1" width="13.34"/>
    <col collapsed="false" customWidth="true" hidden="false" outlineLevel="0" max="24" min="24" style="1" width="20.83"/>
    <col collapsed="false" customWidth="false" hidden="false" outlineLevel="0" max="25" min="25" style="1" width="11.5"/>
    <col collapsed="false" customWidth="true" hidden="false" outlineLevel="0" max="27" min="26" style="1" width="14.67"/>
    <col collapsed="false" customWidth="true" hidden="false" outlineLevel="0" max="28" min="28" style="1" width="23"/>
    <col collapsed="false" customWidth="true" hidden="false" outlineLevel="0" max="29" min="29" style="1" width="21.83"/>
    <col collapsed="false" customWidth="true" hidden="false" outlineLevel="0" max="30" min="30" style="1" width="17.5"/>
    <col collapsed="false" customWidth="true" hidden="false" outlineLevel="0" max="31" min="31" style="1" width="20.83"/>
    <col collapsed="false" customWidth="true" hidden="false" outlineLevel="0" max="32" min="32" style="1" width="16.5"/>
    <col collapsed="false" customWidth="true" hidden="false" outlineLevel="0" max="33" min="33" style="1" width="19.83"/>
    <col collapsed="false" customWidth="true" hidden="false" outlineLevel="0" max="34" min="34" style="1" width="15.33"/>
    <col collapsed="false" customWidth="true" hidden="false" outlineLevel="0" max="35" min="35" style="1" width="26.67"/>
    <col collapsed="false" customWidth="false" hidden="false" outlineLevel="0" max="37" min="36" style="1" width="11.5"/>
    <col collapsed="false" customWidth="true" hidden="false" outlineLevel="0" max="38" min="38" style="1" width="12.5"/>
    <col collapsed="false" customWidth="true" hidden="false" outlineLevel="0" max="39" min="39" style="1" width="22.16"/>
    <col collapsed="false" customWidth="true" hidden="false" outlineLevel="0" max="40" min="40" style="1" width="13.67"/>
    <col collapsed="false" customWidth="true" hidden="false" outlineLevel="0" max="41" min="41" style="1" width="39.16"/>
    <col collapsed="false" customWidth="true" hidden="false" outlineLevel="0" max="42" min="42" style="1" width="12.79"/>
    <col collapsed="false" customWidth="true" hidden="false" outlineLevel="0" max="43" min="43" style="1" width="19.33"/>
    <col collapsed="false" customWidth="true" hidden="false" outlineLevel="0" max="44" min="44" style="1" width="31.57"/>
    <col collapsed="false" customWidth="true" hidden="false" outlineLevel="0" max="45" min="45" style="1" width="32.83"/>
    <col collapsed="false" customWidth="true" hidden="false" outlineLevel="0" max="46" min="46" style="1" width="24.62"/>
    <col collapsed="false" customWidth="true" hidden="false" outlineLevel="0" max="47" min="47" style="1" width="53.56"/>
    <col collapsed="false" customWidth="true" hidden="false" outlineLevel="0" max="48" min="48" style="1" width="40.2"/>
    <col collapsed="false" customWidth="true" hidden="false" outlineLevel="0" max="55" min="49" style="1" width="16.55"/>
    <col collapsed="false" customWidth="false" hidden="false" outlineLevel="0" max="16384" min="56" style="1" width="11.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2" t="s">
        <v>52</v>
      </c>
      <c r="BC1" s="2" t="s">
        <v>53</v>
      </c>
      <c r="BD1" s="1" t="s">
        <v>54</v>
      </c>
    </row>
    <row r="2" customFormat="false" ht="15" hidden="false" customHeight="false" outlineLevel="0" collapsed="false">
      <c r="A2" s="1" t="s">
        <v>55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62</v>
      </c>
      <c r="I2" s="1" t="n">
        <v>4</v>
      </c>
      <c r="J2" s="1" t="s">
        <v>63</v>
      </c>
      <c r="N2" s="3" t="s">
        <v>64</v>
      </c>
      <c r="O2" s="3" t="s">
        <v>65</v>
      </c>
      <c r="Q2" s="4" t="n">
        <v>21454044</v>
      </c>
      <c r="R2" s="4" t="n">
        <v>7307772</v>
      </c>
      <c r="S2" s="5" t="n">
        <f aca="false">R2/Q2</f>
        <v>0.340624452900348</v>
      </c>
      <c r="T2" s="6" t="n">
        <v>10575438</v>
      </c>
      <c r="U2" s="6" t="n">
        <v>161944</v>
      </c>
      <c r="V2" s="6" t="n">
        <v>3408890</v>
      </c>
      <c r="W2" s="7" t="n">
        <v>19941862</v>
      </c>
      <c r="X2" s="8" t="n">
        <f aca="false">W2/Q2</f>
        <v>0.929515293247278</v>
      </c>
      <c r="AA2" s="9" t="n">
        <v>4403419</v>
      </c>
      <c r="AB2" s="9" t="n">
        <v>1083744</v>
      </c>
      <c r="AC2" s="10" t="n">
        <f aca="false">(AA2+AB2)/Q2</f>
        <v>0.25576357538933</v>
      </c>
      <c r="AD2" s="11" t="n">
        <v>9981295</v>
      </c>
      <c r="AE2" s="12" t="n">
        <v>0.5581</v>
      </c>
      <c r="AF2" s="11" t="n">
        <v>552408</v>
      </c>
      <c r="AG2" s="12" t="n">
        <v>0.0309</v>
      </c>
      <c r="AH2" s="11" t="n">
        <v>7349507</v>
      </c>
      <c r="AI2" s="13" t="n">
        <v>0.411</v>
      </c>
      <c r="AJ2" s="14" t="n">
        <v>1848699</v>
      </c>
      <c r="AK2" s="14" t="n">
        <v>820527</v>
      </c>
      <c r="AL2" s="15" t="n">
        <f aca="false">(AK2+AJ2)/W2</f>
        <v>0.133850389697813</v>
      </c>
      <c r="AM2" s="15" t="n">
        <f aca="false">(AK2+AJ2)/Q2</f>
        <v>0.124415984231225</v>
      </c>
      <c r="AP2" s="1" t="s">
        <v>66</v>
      </c>
      <c r="AQ2" s="1" t="n">
        <v>16</v>
      </c>
      <c r="AR2" s="1" t="s">
        <v>67</v>
      </c>
      <c r="AS2" s="1" t="s">
        <v>68</v>
      </c>
      <c r="AT2" s="1" t="s">
        <v>69</v>
      </c>
      <c r="AU2" s="1" t="s">
        <v>61</v>
      </c>
      <c r="AV2" s="1" t="s">
        <v>62</v>
      </c>
      <c r="AX2" s="1" t="s">
        <v>56</v>
      </c>
      <c r="AY2" s="1" t="s">
        <v>57</v>
      </c>
      <c r="AZ2" s="1" t="s">
        <v>58</v>
      </c>
      <c r="BA2" s="1" t="str">
        <f aca="false">CONCATENATE(AX2, "_", AY2)</f>
        <v>het_dlgn</v>
      </c>
      <c r="BB2" s="1" t="s">
        <v>70</v>
      </c>
      <c r="BC2" s="1" t="s">
        <v>71</v>
      </c>
      <c r="BD2" s="1" t="s">
        <v>57</v>
      </c>
    </row>
    <row r="3" customFormat="false" ht="15" hidden="false" customHeight="false" outlineLevel="0" collapsed="false">
      <c r="A3" s="1" t="s">
        <v>72</v>
      </c>
      <c r="B3" s="1" t="s">
        <v>56</v>
      </c>
      <c r="C3" s="1" t="s">
        <v>57</v>
      </c>
      <c r="D3" s="1" t="s">
        <v>58</v>
      </c>
      <c r="E3" s="1" t="s">
        <v>59</v>
      </c>
      <c r="F3" s="1" t="s">
        <v>60</v>
      </c>
      <c r="G3" s="1" t="s">
        <v>73</v>
      </c>
      <c r="H3" s="1" t="s">
        <v>74</v>
      </c>
      <c r="I3" s="1" t="n">
        <v>4</v>
      </c>
      <c r="J3" s="1" t="s">
        <v>63</v>
      </c>
      <c r="N3" s="3" t="s">
        <v>75</v>
      </c>
      <c r="O3" s="3" t="s">
        <v>76</v>
      </c>
      <c r="Q3" s="4" t="n">
        <v>15326358</v>
      </c>
      <c r="R3" s="4" t="n">
        <v>5673117</v>
      </c>
      <c r="S3" s="5" t="n">
        <f aca="false">R3/Q3</f>
        <v>0.370154279314107</v>
      </c>
      <c r="T3" s="6" t="n">
        <v>8006539</v>
      </c>
      <c r="U3" s="6" t="n">
        <v>126447</v>
      </c>
      <c r="V3" s="6" t="n">
        <v>1520255</v>
      </c>
      <c r="W3" s="7" t="n">
        <v>14735531</v>
      </c>
      <c r="X3" s="8" t="n">
        <f aca="false">W3/Q3</f>
        <v>0.961450267571722</v>
      </c>
      <c r="AA3" s="9" t="n">
        <v>3913257</v>
      </c>
      <c r="AB3" s="9" t="n">
        <v>1576743</v>
      </c>
      <c r="AC3" s="10" t="n">
        <f aca="false">(AA3+AB3)/Q3</f>
        <v>0.358206431038607</v>
      </c>
      <c r="AD3" s="11" t="n">
        <v>8456038</v>
      </c>
      <c r="AE3" s="12" t="n">
        <v>0.6181</v>
      </c>
      <c r="AF3" s="11" t="n">
        <v>554987</v>
      </c>
      <c r="AG3" s="12" t="n">
        <v>0.0406</v>
      </c>
      <c r="AH3" s="11" t="n">
        <v>4668631</v>
      </c>
      <c r="AI3" s="13" t="n">
        <v>0.3413</v>
      </c>
      <c r="AJ3" s="14" t="n">
        <v>1487847</v>
      </c>
      <c r="AK3" s="14" t="n">
        <v>590756</v>
      </c>
      <c r="AL3" s="15" t="n">
        <f aca="false">(AK3+AJ3)/W3</f>
        <v>0.141060610574536</v>
      </c>
      <c r="AM3" s="15" t="n">
        <f aca="false">(AK3+AJ3)/Q3</f>
        <v>0.135622761780718</v>
      </c>
      <c r="AP3" s="1" t="s">
        <v>66</v>
      </c>
      <c r="AQ3" s="1" t="n">
        <v>17</v>
      </c>
      <c r="AR3" s="1" t="s">
        <v>77</v>
      </c>
      <c r="AS3" s="1" t="s">
        <v>68</v>
      </c>
      <c r="AT3" s="1" t="s">
        <v>69</v>
      </c>
      <c r="AU3" s="1" t="s">
        <v>73</v>
      </c>
      <c r="AV3" s="1" t="s">
        <v>74</v>
      </c>
      <c r="AX3" s="1" t="s">
        <v>56</v>
      </c>
      <c r="AY3" s="1" t="s">
        <v>57</v>
      </c>
      <c r="AZ3" s="1" t="s">
        <v>58</v>
      </c>
      <c r="BA3" s="1" t="str">
        <f aca="false">CONCATENATE(AX3, "_", AY3)</f>
        <v>het_dlgn</v>
      </c>
      <c r="BB3" s="1" t="s">
        <v>70</v>
      </c>
      <c r="BC3" s="1" t="s">
        <v>78</v>
      </c>
      <c r="BD3" s="1" t="s">
        <v>57</v>
      </c>
    </row>
    <row r="4" customFormat="false" ht="15" hidden="false" customHeight="false" outlineLevel="0" collapsed="false">
      <c r="A4" s="1" t="s">
        <v>79</v>
      </c>
      <c r="B4" s="1" t="s">
        <v>56</v>
      </c>
      <c r="C4" s="1" t="s">
        <v>80</v>
      </c>
      <c r="D4" s="1" t="s">
        <v>58</v>
      </c>
      <c r="E4" s="1" t="s">
        <v>81</v>
      </c>
      <c r="F4" s="1" t="s">
        <v>82</v>
      </c>
      <c r="G4" s="1" t="s">
        <v>83</v>
      </c>
      <c r="H4" s="1" t="s">
        <v>84</v>
      </c>
      <c r="I4" s="1" t="n">
        <v>4</v>
      </c>
      <c r="J4" s="1" t="s">
        <v>63</v>
      </c>
      <c r="N4" s="3" t="s">
        <v>85</v>
      </c>
      <c r="O4" s="3" t="s">
        <v>86</v>
      </c>
      <c r="Q4" s="4" t="n">
        <v>18003256</v>
      </c>
      <c r="R4" s="4" t="n">
        <v>6665716</v>
      </c>
      <c r="S4" s="5" t="n">
        <f aca="false">R4/Q4</f>
        <v>0.370250581339287</v>
      </c>
      <c r="T4" s="6" t="n">
        <v>9518432</v>
      </c>
      <c r="U4" s="6" t="n">
        <v>147975</v>
      </c>
      <c r="V4" s="6" t="n">
        <v>1671133</v>
      </c>
      <c r="W4" s="7" t="n">
        <v>17308611</v>
      </c>
      <c r="X4" s="8" t="n">
        <f aca="false">W4/Q4</f>
        <v>0.961415590602056</v>
      </c>
      <c r="AA4" s="9" t="n">
        <v>8017462</v>
      </c>
      <c r="AB4" s="9" t="n">
        <v>1026624</v>
      </c>
      <c r="AC4" s="10" t="n">
        <f aca="false">(AA4+AB4)/Q4</f>
        <v>0.502358351178254</v>
      </c>
      <c r="AD4" s="11" t="n">
        <v>5806861</v>
      </c>
      <c r="AE4" s="12" t="n">
        <v>0.3588</v>
      </c>
      <c r="AF4" s="11" t="n">
        <v>211357</v>
      </c>
      <c r="AG4" s="12" t="n">
        <v>0.0131</v>
      </c>
      <c r="AH4" s="11" t="n">
        <v>10165930</v>
      </c>
      <c r="AI4" s="13" t="n">
        <v>0.6281</v>
      </c>
      <c r="AJ4" s="14" t="n">
        <v>3115788</v>
      </c>
      <c r="AK4" s="14" t="n">
        <v>634919</v>
      </c>
      <c r="AL4" s="15" t="n">
        <f aca="false">(AK4+AJ4)/W4</f>
        <v>0.216696013331168</v>
      </c>
      <c r="AM4" s="15" t="n">
        <f aca="false">(AK4+AJ4)/Q4</f>
        <v>0.208334925637896</v>
      </c>
      <c r="AP4" s="1" t="s">
        <v>66</v>
      </c>
      <c r="AQ4" s="1" t="n">
        <v>7</v>
      </c>
      <c r="AR4" s="1" t="s">
        <v>87</v>
      </c>
      <c r="AS4" s="1" t="s">
        <v>68</v>
      </c>
      <c r="AT4" s="1" t="s">
        <v>69</v>
      </c>
      <c r="AU4" s="1" t="s">
        <v>83</v>
      </c>
      <c r="AV4" s="1" t="s">
        <v>84</v>
      </c>
      <c r="AX4" s="1" t="s">
        <v>56</v>
      </c>
      <c r="AY4" s="1" t="s">
        <v>80</v>
      </c>
      <c r="AZ4" s="1" t="s">
        <v>58</v>
      </c>
      <c r="BA4" s="1" t="str">
        <f aca="false">CONCATENATE(AX4, "_", AY4)</f>
        <v>het_retina</v>
      </c>
      <c r="BB4" s="1" t="s">
        <v>70</v>
      </c>
      <c r="BC4" s="1" t="s">
        <v>71</v>
      </c>
      <c r="BD4" s="1" t="s">
        <v>80</v>
      </c>
    </row>
    <row r="5" customFormat="false" ht="15" hidden="false" customHeight="false" outlineLevel="0" collapsed="false">
      <c r="A5" s="1" t="s">
        <v>88</v>
      </c>
      <c r="B5" s="1" t="s">
        <v>56</v>
      </c>
      <c r="C5" s="1" t="s">
        <v>80</v>
      </c>
      <c r="D5" s="1" t="s">
        <v>58</v>
      </c>
      <c r="E5" s="1" t="s">
        <v>81</v>
      </c>
      <c r="F5" s="1" t="s">
        <v>82</v>
      </c>
      <c r="G5" s="1" t="s">
        <v>89</v>
      </c>
      <c r="H5" s="1" t="s">
        <v>90</v>
      </c>
      <c r="I5" s="1" t="n">
        <v>4</v>
      </c>
      <c r="J5" s="1" t="s">
        <v>63</v>
      </c>
      <c r="N5" s="3" t="s">
        <v>91</v>
      </c>
      <c r="O5" s="3" t="s">
        <v>92</v>
      </c>
      <c r="Q5" s="4" t="n">
        <v>20929623</v>
      </c>
      <c r="R5" s="4" t="n">
        <v>7076283</v>
      </c>
      <c r="S5" s="5" t="n">
        <f aca="false">R5/Q5</f>
        <v>0.338098923234308</v>
      </c>
      <c r="T5" s="6" t="n">
        <v>10013788</v>
      </c>
      <c r="U5" s="6" t="n">
        <v>183633</v>
      </c>
      <c r="V5" s="6" t="n">
        <v>3655919</v>
      </c>
      <c r="W5" s="7" t="n">
        <v>19162876</v>
      </c>
      <c r="X5" s="8" t="n">
        <f aca="false">W5/Q5</f>
        <v>0.915586296036006</v>
      </c>
      <c r="AA5" s="9" t="n">
        <v>9046156</v>
      </c>
      <c r="AB5" s="9" t="n">
        <v>1156208</v>
      </c>
      <c r="AC5" s="10" t="n">
        <f aca="false">(AA5+AB5)/Q5</f>
        <v>0.487460476473943</v>
      </c>
      <c r="AD5" s="11" t="n">
        <v>4654006</v>
      </c>
      <c r="AE5" s="12" t="n">
        <v>0.2723</v>
      </c>
      <c r="AF5" s="11" t="n">
        <v>186314</v>
      </c>
      <c r="AG5" s="12" t="n">
        <v>0.0109</v>
      </c>
      <c r="AH5" s="11" t="n">
        <v>12249751</v>
      </c>
      <c r="AI5" s="13" t="n">
        <v>0.7168</v>
      </c>
      <c r="AJ5" s="14" t="n">
        <v>3497108</v>
      </c>
      <c r="AK5" s="14" t="n">
        <v>645740</v>
      </c>
      <c r="AL5" s="15" t="n">
        <f aca="false">(AK5+AJ5)/W5</f>
        <v>0.21619134831327</v>
      </c>
      <c r="AM5" s="15" t="n">
        <f aca="false">(AK5+AJ5)/Q5</f>
        <v>0.197941835837177</v>
      </c>
      <c r="AP5" s="1" t="s">
        <v>66</v>
      </c>
      <c r="AQ5" s="1" t="n">
        <v>8</v>
      </c>
      <c r="AR5" s="1" t="s">
        <v>93</v>
      </c>
      <c r="AS5" s="1" t="s">
        <v>68</v>
      </c>
      <c r="AT5" s="1" t="s">
        <v>69</v>
      </c>
      <c r="AU5" s="1" t="s">
        <v>89</v>
      </c>
      <c r="AV5" s="1" t="s">
        <v>90</v>
      </c>
      <c r="AX5" s="1" t="s">
        <v>56</v>
      </c>
      <c r="AY5" s="1" t="s">
        <v>80</v>
      </c>
      <c r="AZ5" s="1" t="s">
        <v>58</v>
      </c>
      <c r="BA5" s="1" t="str">
        <f aca="false">CONCATENATE(AX5, "_", AY5)</f>
        <v>het_retina</v>
      </c>
      <c r="BB5" s="1" t="s">
        <v>70</v>
      </c>
      <c r="BC5" s="1" t="s">
        <v>78</v>
      </c>
      <c r="BD5" s="1" t="s">
        <v>80</v>
      </c>
    </row>
    <row r="6" customFormat="false" ht="15" hidden="false" customHeight="false" outlineLevel="0" collapsed="false">
      <c r="A6" s="1" t="s">
        <v>94</v>
      </c>
      <c r="B6" s="1" t="s">
        <v>56</v>
      </c>
      <c r="C6" s="1" t="s">
        <v>95</v>
      </c>
      <c r="D6" s="1" t="s">
        <v>58</v>
      </c>
      <c r="E6" s="1" t="s">
        <v>96</v>
      </c>
      <c r="F6" s="1" t="s">
        <v>60</v>
      </c>
      <c r="G6" s="1" t="s">
        <v>97</v>
      </c>
      <c r="H6" s="1" t="s">
        <v>98</v>
      </c>
      <c r="I6" s="1" t="n">
        <v>4</v>
      </c>
      <c r="J6" s="1" t="s">
        <v>63</v>
      </c>
      <c r="N6" s="3" t="s">
        <v>99</v>
      </c>
      <c r="O6" s="3" t="s">
        <v>100</v>
      </c>
      <c r="Q6" s="4" t="n">
        <v>15724842</v>
      </c>
      <c r="R6" s="4" t="n">
        <v>6013402</v>
      </c>
      <c r="S6" s="5" t="n">
        <f aca="false">R6/Q6</f>
        <v>0.382414144447366</v>
      </c>
      <c r="T6" s="6" t="n">
        <v>8415519</v>
      </c>
      <c r="U6" s="6" t="n">
        <v>135052</v>
      </c>
      <c r="V6" s="6" t="n">
        <v>1160869</v>
      </c>
      <c r="W6" s="7" t="n">
        <v>15152058</v>
      </c>
      <c r="X6" s="8" t="n">
        <f aca="false">W6/Q6</f>
        <v>0.963574578364603</v>
      </c>
      <c r="AA6" s="9" t="n">
        <v>5991145</v>
      </c>
      <c r="AB6" s="9" t="n">
        <v>1028730</v>
      </c>
      <c r="AC6" s="10" t="n">
        <f aca="false">(AA6+AB6)/Q6</f>
        <v>0.446419429842284</v>
      </c>
      <c r="AD6" s="11" t="n">
        <v>7223609</v>
      </c>
      <c r="AE6" s="12" t="n">
        <v>0.5006</v>
      </c>
      <c r="AF6" s="11" t="n">
        <v>505801</v>
      </c>
      <c r="AG6" s="12" t="n">
        <v>0.0351</v>
      </c>
      <c r="AH6" s="11" t="n">
        <v>6699511</v>
      </c>
      <c r="AI6" s="13" t="n">
        <v>0.4643</v>
      </c>
      <c r="AJ6" s="14" t="n">
        <v>2450261</v>
      </c>
      <c r="AK6" s="14" t="n">
        <v>594272</v>
      </c>
      <c r="AL6" s="15" t="n">
        <f aca="false">(AK6+AJ6)/W6</f>
        <v>0.200931979009056</v>
      </c>
      <c r="AM6" s="15" t="n">
        <f aca="false">(AK6+AJ6)/Q6</f>
        <v>0.193612946953616</v>
      </c>
      <c r="AP6" s="1" t="s">
        <v>66</v>
      </c>
      <c r="AQ6" s="1" t="n">
        <v>25</v>
      </c>
      <c r="AR6" s="1" t="s">
        <v>101</v>
      </c>
      <c r="AS6" s="1" t="s">
        <v>68</v>
      </c>
      <c r="AT6" s="1" t="s">
        <v>69</v>
      </c>
      <c r="AU6" s="1" t="s">
        <v>97</v>
      </c>
      <c r="AV6" s="1" t="s">
        <v>98</v>
      </c>
      <c r="AX6" s="1" t="s">
        <v>56</v>
      </c>
      <c r="AY6" s="1" t="s">
        <v>95</v>
      </c>
      <c r="AZ6" s="1" t="s">
        <v>58</v>
      </c>
      <c r="BA6" s="1" t="str">
        <f aca="false">CONCATENATE(AX6, "_", AY6)</f>
        <v>het_scn</v>
      </c>
      <c r="BB6" s="1" t="s">
        <v>70</v>
      </c>
      <c r="BC6" s="1" t="s">
        <v>71</v>
      </c>
      <c r="BD6" s="16" t="s">
        <v>57</v>
      </c>
    </row>
    <row r="7" customFormat="false" ht="15" hidden="false" customHeight="false" outlineLevel="0" collapsed="false">
      <c r="A7" s="1" t="s">
        <v>102</v>
      </c>
      <c r="B7" s="1" t="s">
        <v>56</v>
      </c>
      <c r="C7" s="1" t="s">
        <v>95</v>
      </c>
      <c r="D7" s="1" t="s">
        <v>58</v>
      </c>
      <c r="E7" s="1" t="s">
        <v>96</v>
      </c>
      <c r="F7" s="1" t="s">
        <v>60</v>
      </c>
      <c r="G7" s="1" t="s">
        <v>103</v>
      </c>
      <c r="H7" s="1" t="s">
        <v>104</v>
      </c>
      <c r="I7" s="1" t="n">
        <v>4</v>
      </c>
      <c r="J7" s="1" t="s">
        <v>63</v>
      </c>
      <c r="N7" s="3" t="s">
        <v>105</v>
      </c>
      <c r="O7" s="3" t="s">
        <v>106</v>
      </c>
      <c r="Q7" s="4" t="n">
        <v>15456881</v>
      </c>
      <c r="R7" s="4" t="n">
        <v>5714266</v>
      </c>
      <c r="S7" s="5" t="n">
        <f aca="false">R7/Q7</f>
        <v>0.369690754557792</v>
      </c>
      <c r="T7" s="6" t="n">
        <v>8184877</v>
      </c>
      <c r="U7" s="6" t="n">
        <v>129987</v>
      </c>
      <c r="V7" s="6" t="n">
        <v>1427751</v>
      </c>
      <c r="W7" s="7" t="n">
        <v>14776608</v>
      </c>
      <c r="X7" s="8" t="n">
        <f aca="false">W7/Q7</f>
        <v>0.955988986393827</v>
      </c>
      <c r="AA7" s="9" t="n">
        <v>5936037</v>
      </c>
      <c r="AB7" s="9" t="n">
        <v>1208092</v>
      </c>
      <c r="AC7" s="10" t="n">
        <f aca="false">(AA7+AB7)/Q7</f>
        <v>0.462197321697696</v>
      </c>
      <c r="AD7" s="11" t="n">
        <v>6686073</v>
      </c>
      <c r="AE7" s="12" t="n">
        <v>0.481</v>
      </c>
      <c r="AF7" s="11" t="n">
        <v>449142</v>
      </c>
      <c r="AG7" s="12" t="n">
        <v>0.0323</v>
      </c>
      <c r="AH7" s="11" t="n">
        <v>6763928</v>
      </c>
      <c r="AI7" s="13" t="n">
        <v>0.4866</v>
      </c>
      <c r="AJ7" s="14" t="n">
        <v>2410898</v>
      </c>
      <c r="AK7" s="14" t="n">
        <v>657348</v>
      </c>
      <c r="AL7" s="15" t="n">
        <f aca="false">(AK7+AJ7)/W7</f>
        <v>0.207642105684877</v>
      </c>
      <c r="AM7" s="15" t="n">
        <f aca="false">(AK7+AJ7)/Q7</f>
        <v>0.198503566146366</v>
      </c>
      <c r="AP7" s="1" t="s">
        <v>66</v>
      </c>
      <c r="AQ7" s="1" t="n">
        <v>26</v>
      </c>
      <c r="AR7" s="1" t="s">
        <v>107</v>
      </c>
      <c r="AS7" s="1" t="s">
        <v>68</v>
      </c>
      <c r="AT7" s="1" t="s">
        <v>69</v>
      </c>
      <c r="AU7" s="1" t="s">
        <v>103</v>
      </c>
      <c r="AV7" s="1" t="s">
        <v>104</v>
      </c>
      <c r="AX7" s="1" t="s">
        <v>56</v>
      </c>
      <c r="AY7" s="1" t="s">
        <v>95</v>
      </c>
      <c r="AZ7" s="1" t="s">
        <v>58</v>
      </c>
      <c r="BA7" s="1" t="str">
        <f aca="false">CONCATENATE(AX7, "_", AY7)</f>
        <v>het_scn</v>
      </c>
      <c r="BB7" s="1" t="s">
        <v>70</v>
      </c>
      <c r="BC7" s="1" t="s">
        <v>78</v>
      </c>
      <c r="BD7" s="1" t="s">
        <v>95</v>
      </c>
    </row>
    <row r="8" customFormat="false" ht="15" hidden="false" customHeight="false" outlineLevel="0" collapsed="false">
      <c r="A8" s="1" t="s">
        <v>108</v>
      </c>
      <c r="B8" s="1" t="s">
        <v>109</v>
      </c>
      <c r="C8" s="1" t="s">
        <v>57</v>
      </c>
      <c r="D8" s="1" t="s">
        <v>58</v>
      </c>
      <c r="E8" s="1" t="s">
        <v>110</v>
      </c>
      <c r="F8" s="1" t="s">
        <v>60</v>
      </c>
      <c r="G8" s="1" t="s">
        <v>111</v>
      </c>
      <c r="H8" s="1" t="s">
        <v>112</v>
      </c>
      <c r="I8" s="1" t="n">
        <v>4</v>
      </c>
      <c r="J8" s="1" t="s">
        <v>63</v>
      </c>
      <c r="N8" s="3" t="s">
        <v>113</v>
      </c>
      <c r="O8" s="3" t="s">
        <v>114</v>
      </c>
      <c r="Q8" s="4" t="n">
        <v>19666257</v>
      </c>
      <c r="R8" s="4" t="n">
        <v>6900044</v>
      </c>
      <c r="S8" s="5" t="n">
        <f aca="false">R8/Q8</f>
        <v>0.350857003445038</v>
      </c>
      <c r="T8" s="6" t="n">
        <v>9066997</v>
      </c>
      <c r="U8" s="6" t="n">
        <v>154410</v>
      </c>
      <c r="V8" s="6" t="n">
        <v>3544806</v>
      </c>
      <c r="W8" s="7" t="n">
        <v>18079308</v>
      </c>
      <c r="X8" s="8" t="n">
        <f aca="false">W8/Q8</f>
        <v>0.91930599706899</v>
      </c>
      <c r="AA8" s="9" t="n">
        <v>3617748</v>
      </c>
      <c r="AB8" s="9" t="n">
        <v>990881</v>
      </c>
      <c r="AC8" s="10" t="n">
        <f aca="false">(AA8+AB8)/Q8</f>
        <v>0.23434194925857</v>
      </c>
      <c r="AD8" s="11" t="n">
        <v>8880676</v>
      </c>
      <c r="AE8" s="12" t="n">
        <v>0.5562</v>
      </c>
      <c r="AF8" s="11" t="n">
        <v>464529</v>
      </c>
      <c r="AG8" s="12" t="n">
        <v>0.0291</v>
      </c>
      <c r="AH8" s="11" t="n">
        <v>6621836</v>
      </c>
      <c r="AI8" s="13" t="n">
        <v>0.4147</v>
      </c>
      <c r="AJ8" s="14" t="n">
        <v>1693648</v>
      </c>
      <c r="AK8" s="14" t="n">
        <v>716559</v>
      </c>
      <c r="AL8" s="15" t="n">
        <f aca="false">(AK8+AJ8)/W8</f>
        <v>0.133313011759078</v>
      </c>
      <c r="AM8" s="15" t="n">
        <f aca="false">(AK8+AJ8)/Q8</f>
        <v>0.12255545119745</v>
      </c>
      <c r="AP8" s="1" t="s">
        <v>66</v>
      </c>
      <c r="AQ8" s="1" t="n">
        <v>18</v>
      </c>
      <c r="AR8" s="1" t="s">
        <v>115</v>
      </c>
      <c r="AS8" s="1" t="s">
        <v>68</v>
      </c>
      <c r="AT8" s="1" t="s">
        <v>69</v>
      </c>
      <c r="AU8" s="1" t="s">
        <v>111</v>
      </c>
      <c r="AV8" s="1" t="s">
        <v>112</v>
      </c>
      <c r="AX8" s="1" t="s">
        <v>109</v>
      </c>
      <c r="AY8" s="1" t="s">
        <v>57</v>
      </c>
      <c r="AZ8" s="1" t="s">
        <v>58</v>
      </c>
      <c r="BA8" s="1" t="str">
        <f aca="false">CONCATENATE(AX8, "_", AY8)</f>
        <v>ko_dlgn</v>
      </c>
      <c r="BB8" s="1" t="s">
        <v>70</v>
      </c>
      <c r="BC8" s="1" t="s">
        <v>71</v>
      </c>
      <c r="BD8" s="1" t="s">
        <v>57</v>
      </c>
    </row>
    <row r="9" customFormat="false" ht="15" hidden="false" customHeight="false" outlineLevel="0" collapsed="false">
      <c r="A9" s="1" t="s">
        <v>116</v>
      </c>
      <c r="B9" s="1" t="s">
        <v>109</v>
      </c>
      <c r="C9" s="1" t="s">
        <v>80</v>
      </c>
      <c r="D9" s="1" t="s">
        <v>58</v>
      </c>
      <c r="E9" s="1" t="s">
        <v>117</v>
      </c>
      <c r="F9" s="1" t="s">
        <v>82</v>
      </c>
      <c r="G9" s="1" t="s">
        <v>118</v>
      </c>
      <c r="H9" s="1" t="s">
        <v>119</v>
      </c>
      <c r="I9" s="1" t="n">
        <v>4</v>
      </c>
      <c r="J9" s="1" t="s">
        <v>63</v>
      </c>
      <c r="N9" s="3" t="s">
        <v>120</v>
      </c>
      <c r="O9" s="3" t="s">
        <v>121</v>
      </c>
      <c r="Q9" s="4" t="n">
        <v>16552894</v>
      </c>
      <c r="R9" s="4" t="n">
        <v>6100310</v>
      </c>
      <c r="S9" s="5" t="n">
        <f aca="false">R9/Q9</f>
        <v>0.368534348132719</v>
      </c>
      <c r="T9" s="6" t="n">
        <v>8839919</v>
      </c>
      <c r="U9" s="6" t="n">
        <v>153735</v>
      </c>
      <c r="V9" s="6" t="n">
        <v>1458930</v>
      </c>
      <c r="W9" s="7" t="n">
        <v>15834102</v>
      </c>
      <c r="X9" s="8" t="n">
        <f aca="false">W9/Q9</f>
        <v>0.956576052501756</v>
      </c>
      <c r="AA9" s="9" t="n">
        <v>10915725</v>
      </c>
      <c r="AB9" s="9" t="n">
        <v>1053089</v>
      </c>
      <c r="AC9" s="10" t="n">
        <f aca="false">(AA9+AB9)/Q9</f>
        <v>0.723064740220049</v>
      </c>
      <c r="AD9" s="11" t="n">
        <v>1156001</v>
      </c>
      <c r="AE9" s="12" t="n">
        <v>0.0774</v>
      </c>
      <c r="AF9" s="11" t="n">
        <v>30867</v>
      </c>
      <c r="AG9" s="12" t="n">
        <v>0.0021</v>
      </c>
      <c r="AH9" s="11" t="n">
        <v>13753361</v>
      </c>
      <c r="AI9" s="13" t="n">
        <v>0.9206</v>
      </c>
      <c r="AJ9" s="14" t="n">
        <v>4103748</v>
      </c>
      <c r="AK9" s="14" t="n">
        <v>467294</v>
      </c>
      <c r="AL9" s="15" t="n">
        <f aca="false">(AK9+AJ9)/W9</f>
        <v>0.288683374655538</v>
      </c>
      <c r="AM9" s="15" t="n">
        <f aca="false">(AK9+AJ9)/Q9</f>
        <v>0.27614760295088</v>
      </c>
      <c r="AP9" s="1" t="s">
        <v>66</v>
      </c>
      <c r="AQ9" s="1" t="n">
        <v>9</v>
      </c>
      <c r="AR9" s="1" t="s">
        <v>122</v>
      </c>
      <c r="AS9" s="1" t="s">
        <v>68</v>
      </c>
      <c r="AT9" s="1" t="s">
        <v>69</v>
      </c>
      <c r="AU9" s="1" t="s">
        <v>118</v>
      </c>
      <c r="AV9" s="1" t="s">
        <v>119</v>
      </c>
      <c r="AX9" s="1" t="s">
        <v>109</v>
      </c>
      <c r="AY9" s="1" t="s">
        <v>80</v>
      </c>
      <c r="AZ9" s="1" t="s">
        <v>58</v>
      </c>
      <c r="BA9" s="1" t="str">
        <f aca="false">CONCATENATE(AX9, "_", AY9)</f>
        <v>ko_retina</v>
      </c>
      <c r="BB9" s="1" t="s">
        <v>70</v>
      </c>
      <c r="BC9" s="1" t="s">
        <v>71</v>
      </c>
      <c r="BD9" s="1" t="s">
        <v>80</v>
      </c>
    </row>
    <row r="10" customFormat="false" ht="15" hidden="false" customHeight="false" outlineLevel="0" collapsed="false">
      <c r="A10" s="1" t="s">
        <v>123</v>
      </c>
      <c r="B10" s="1" t="s">
        <v>109</v>
      </c>
      <c r="C10" s="1" t="s">
        <v>95</v>
      </c>
      <c r="D10" s="1" t="s">
        <v>58</v>
      </c>
      <c r="E10" s="1" t="s">
        <v>124</v>
      </c>
      <c r="F10" s="1" t="s">
        <v>60</v>
      </c>
      <c r="G10" s="1" t="s">
        <v>125</v>
      </c>
      <c r="H10" s="1" t="s">
        <v>126</v>
      </c>
      <c r="I10" s="1" t="n">
        <v>4</v>
      </c>
      <c r="J10" s="1" t="s">
        <v>63</v>
      </c>
      <c r="N10" s="3" t="s">
        <v>127</v>
      </c>
      <c r="O10" s="3" t="s">
        <v>128</v>
      </c>
      <c r="Q10" s="4" t="n">
        <v>13740575</v>
      </c>
      <c r="R10" s="4" t="n">
        <v>5066146</v>
      </c>
      <c r="S10" s="5" t="n">
        <f aca="false">R10/Q10</f>
        <v>0.368699708709425</v>
      </c>
      <c r="T10" s="6" t="n">
        <v>7296079</v>
      </c>
      <c r="U10" s="6" t="n">
        <v>107844</v>
      </c>
      <c r="V10" s="6" t="n">
        <v>1270506</v>
      </c>
      <c r="W10" s="7" t="n">
        <v>13117568</v>
      </c>
      <c r="X10" s="8" t="n">
        <f aca="false">W10/Q10</f>
        <v>0.954659321025503</v>
      </c>
      <c r="AA10" s="9" t="n">
        <v>4302666</v>
      </c>
      <c r="AB10" s="9" t="n">
        <v>866074</v>
      </c>
      <c r="AC10" s="10" t="n">
        <f aca="false">(AA10+AB10)/Q10</f>
        <v>0.376166208473808</v>
      </c>
      <c r="AD10" s="11" t="n">
        <v>5198926</v>
      </c>
      <c r="AE10" s="12" t="n">
        <v>0.4205</v>
      </c>
      <c r="AF10" s="11" t="n">
        <v>301939</v>
      </c>
      <c r="AG10" s="12" t="n">
        <v>0.0244</v>
      </c>
      <c r="AH10" s="11" t="n">
        <v>6861360</v>
      </c>
      <c r="AI10" s="13" t="n">
        <v>0.555</v>
      </c>
      <c r="AJ10" s="14" t="n">
        <v>1768274</v>
      </c>
      <c r="AK10" s="14" t="n">
        <v>466076</v>
      </c>
      <c r="AL10" s="15" t="n">
        <f aca="false">(AK10+AJ10)/W10</f>
        <v>0.170332640928562</v>
      </c>
      <c r="AM10" s="15" t="n">
        <f aca="false">(AK10+AJ10)/Q10</f>
        <v>0.162609643337342</v>
      </c>
      <c r="AP10" s="1" t="s">
        <v>66</v>
      </c>
      <c r="AQ10" s="1" t="n">
        <v>27</v>
      </c>
      <c r="AR10" s="1" t="s">
        <v>129</v>
      </c>
      <c r="AS10" s="1" t="s">
        <v>68</v>
      </c>
      <c r="AT10" s="1" t="s">
        <v>69</v>
      </c>
      <c r="AU10" s="1" t="s">
        <v>125</v>
      </c>
      <c r="AV10" s="1" t="s">
        <v>126</v>
      </c>
      <c r="AX10" s="1" t="s">
        <v>109</v>
      </c>
      <c r="AY10" s="1" t="s">
        <v>95</v>
      </c>
      <c r="AZ10" s="1" t="s">
        <v>58</v>
      </c>
      <c r="BA10" s="1" t="str">
        <f aca="false">CONCATENATE(AX10, "_", AY10)</f>
        <v>ko_scn</v>
      </c>
      <c r="BB10" s="1" t="s">
        <v>70</v>
      </c>
      <c r="BC10" s="1" t="s">
        <v>71</v>
      </c>
      <c r="BD10" s="1" t="s">
        <v>95</v>
      </c>
    </row>
    <row r="11" customFormat="false" ht="15" hidden="false" customHeight="false" outlineLevel="0" collapsed="false">
      <c r="A11" s="1" t="s">
        <v>130</v>
      </c>
      <c r="B11" s="1" t="s">
        <v>131</v>
      </c>
      <c r="C11" s="1" t="s">
        <v>57</v>
      </c>
      <c r="D11" s="1" t="s">
        <v>58</v>
      </c>
      <c r="E11" s="1" t="s">
        <v>132</v>
      </c>
      <c r="F11" s="1" t="s">
        <v>60</v>
      </c>
      <c r="G11" s="1" t="s">
        <v>133</v>
      </c>
      <c r="H11" s="1" t="s">
        <v>134</v>
      </c>
      <c r="I11" s="1" t="n">
        <v>4</v>
      </c>
      <c r="J11" s="1" t="s">
        <v>63</v>
      </c>
      <c r="N11" s="3" t="s">
        <v>135</v>
      </c>
      <c r="O11" s="3" t="s">
        <v>136</v>
      </c>
      <c r="Q11" s="4" t="n">
        <v>15525499</v>
      </c>
      <c r="R11" s="4" t="n">
        <v>6038811</v>
      </c>
      <c r="S11" s="5" t="n">
        <f aca="false">R11/Q11</f>
        <v>0.388960831468283</v>
      </c>
      <c r="T11" s="6" t="n">
        <v>8406723</v>
      </c>
      <c r="U11" s="6" t="n">
        <v>140419</v>
      </c>
      <c r="V11" s="6" t="n">
        <v>939546</v>
      </c>
      <c r="W11" s="7" t="n">
        <v>15001298</v>
      </c>
      <c r="X11" s="8" t="n">
        <f aca="false">W11/Q11</f>
        <v>0.966236125486208</v>
      </c>
      <c r="AA11" s="9" t="n">
        <v>5866688</v>
      </c>
      <c r="AB11" s="9" t="n">
        <v>1181784</v>
      </c>
      <c r="AC11" s="10" t="n">
        <f aca="false">(AA11+AB11)/Q11</f>
        <v>0.453993266174569</v>
      </c>
      <c r="AD11" s="11" t="n">
        <v>8388194</v>
      </c>
      <c r="AE11" s="12" t="n">
        <v>0.5807</v>
      </c>
      <c r="AF11" s="11" t="n">
        <v>675994</v>
      </c>
      <c r="AG11" s="12" t="n">
        <v>0.0468</v>
      </c>
      <c r="AH11" s="11" t="n">
        <v>5381346</v>
      </c>
      <c r="AI11" s="13" t="n">
        <v>0.3725</v>
      </c>
      <c r="AJ11" s="14" t="n">
        <v>2429963</v>
      </c>
      <c r="AK11" s="14" t="n">
        <v>731130</v>
      </c>
      <c r="AL11" s="15" t="n">
        <f aca="false">(AK11+AJ11)/W11</f>
        <v>0.210721298916934</v>
      </c>
      <c r="AM11" s="15" t="n">
        <f aca="false">(AK11+AJ11)/Q11</f>
        <v>0.203606531422919</v>
      </c>
      <c r="AP11" s="1" t="s">
        <v>66</v>
      </c>
      <c r="AQ11" s="1" t="n">
        <v>12</v>
      </c>
      <c r="AR11" s="1" t="s">
        <v>137</v>
      </c>
      <c r="AS11" s="1" t="s">
        <v>68</v>
      </c>
      <c r="AT11" s="1" t="s">
        <v>69</v>
      </c>
      <c r="AU11" s="1" t="s">
        <v>133</v>
      </c>
      <c r="AV11" s="1" t="s">
        <v>134</v>
      </c>
      <c r="AX11" s="1" t="s">
        <v>131</v>
      </c>
      <c r="AY11" s="1" t="s">
        <v>57</v>
      </c>
      <c r="AZ11" s="1" t="s">
        <v>58</v>
      </c>
      <c r="BA11" s="1" t="str">
        <f aca="false">CONCATENATE(AX11, "_", AY11)</f>
        <v>wt_dlgn</v>
      </c>
      <c r="BB11" s="1" t="s">
        <v>70</v>
      </c>
      <c r="BC11" s="1" t="s">
        <v>71</v>
      </c>
      <c r="BD11" s="1" t="s">
        <v>57</v>
      </c>
    </row>
    <row r="12" customFormat="false" ht="15" hidden="false" customHeight="false" outlineLevel="0" collapsed="false">
      <c r="A12" s="1" t="s">
        <v>138</v>
      </c>
      <c r="B12" s="1" t="s">
        <v>131</v>
      </c>
      <c r="C12" s="1" t="s">
        <v>57</v>
      </c>
      <c r="D12" s="1" t="s">
        <v>58</v>
      </c>
      <c r="E12" s="1" t="s">
        <v>132</v>
      </c>
      <c r="F12" s="1" t="s">
        <v>60</v>
      </c>
      <c r="G12" s="1" t="s">
        <v>139</v>
      </c>
      <c r="H12" s="1" t="s">
        <v>140</v>
      </c>
      <c r="I12" s="1" t="n">
        <v>4</v>
      </c>
      <c r="J12" s="1" t="s">
        <v>63</v>
      </c>
      <c r="N12" s="3" t="s">
        <v>141</v>
      </c>
      <c r="O12" s="3" t="s">
        <v>142</v>
      </c>
      <c r="Q12" s="4" t="n">
        <v>17094474</v>
      </c>
      <c r="R12" s="4" t="n">
        <v>6541727</v>
      </c>
      <c r="S12" s="5" t="n">
        <f aca="false">R12/Q12</f>
        <v>0.382680800824875</v>
      </c>
      <c r="T12" s="6" t="n">
        <v>9369448</v>
      </c>
      <c r="U12" s="6" t="n">
        <v>148260</v>
      </c>
      <c r="V12" s="6" t="n">
        <v>1035039</v>
      </c>
      <c r="W12" s="7" t="n">
        <v>16587408</v>
      </c>
      <c r="X12" s="8" t="n">
        <f aca="false">W12/Q12</f>
        <v>0.970337431850784</v>
      </c>
      <c r="AA12" s="9" t="n">
        <v>6332063</v>
      </c>
      <c r="AB12" s="9" t="n">
        <v>1423466</v>
      </c>
      <c r="AC12" s="10" t="n">
        <f aca="false">(AA12+AB12)/Q12</f>
        <v>0.453686319918355</v>
      </c>
      <c r="AD12" s="11" t="n">
        <v>8912327</v>
      </c>
      <c r="AE12" s="12" t="n">
        <v>0.5601</v>
      </c>
      <c r="AF12" s="11" t="n">
        <v>784989</v>
      </c>
      <c r="AG12" s="12" t="n">
        <v>0.0493</v>
      </c>
      <c r="AH12" s="11" t="n">
        <v>6213859</v>
      </c>
      <c r="AI12" s="13" t="n">
        <v>0.3905</v>
      </c>
      <c r="AJ12" s="14" t="n">
        <v>2575448</v>
      </c>
      <c r="AK12" s="14" t="n">
        <v>795986</v>
      </c>
      <c r="AL12" s="15" t="n">
        <f aca="false">(AK12+AJ12)/W12</f>
        <v>0.203252611860756</v>
      </c>
      <c r="AM12" s="15" t="n">
        <f aca="false">(AK12+AJ12)/Q12</f>
        <v>0.19722361740993</v>
      </c>
      <c r="AP12" s="1" t="s">
        <v>66</v>
      </c>
      <c r="AQ12" s="1" t="n">
        <v>13</v>
      </c>
      <c r="AR12" s="1" t="s">
        <v>143</v>
      </c>
      <c r="AS12" s="1" t="s">
        <v>68</v>
      </c>
      <c r="AT12" s="1" t="s">
        <v>69</v>
      </c>
      <c r="AU12" s="1" t="s">
        <v>139</v>
      </c>
      <c r="AV12" s="1" t="s">
        <v>140</v>
      </c>
      <c r="AX12" s="1" t="s">
        <v>131</v>
      </c>
      <c r="AY12" s="1" t="s">
        <v>57</v>
      </c>
      <c r="AZ12" s="1" t="s">
        <v>58</v>
      </c>
      <c r="BA12" s="1" t="str">
        <f aca="false">CONCATENATE(AX12, "_", AY12)</f>
        <v>wt_dlgn</v>
      </c>
      <c r="BB12" s="1" t="s">
        <v>70</v>
      </c>
      <c r="BC12" s="1" t="s">
        <v>78</v>
      </c>
      <c r="BD12" s="1" t="s">
        <v>57</v>
      </c>
    </row>
    <row r="13" customFormat="false" ht="15" hidden="false" customHeight="false" outlineLevel="0" collapsed="false">
      <c r="A13" s="1" t="s">
        <v>144</v>
      </c>
      <c r="B13" s="1" t="s">
        <v>131</v>
      </c>
      <c r="C13" s="1" t="s">
        <v>57</v>
      </c>
      <c r="D13" s="1" t="s">
        <v>58</v>
      </c>
      <c r="E13" s="1" t="s">
        <v>132</v>
      </c>
      <c r="F13" s="1" t="s">
        <v>60</v>
      </c>
      <c r="G13" s="1" t="s">
        <v>145</v>
      </c>
      <c r="H13" s="1" t="s">
        <v>146</v>
      </c>
      <c r="I13" s="1" t="n">
        <v>4</v>
      </c>
      <c r="J13" s="1" t="s">
        <v>63</v>
      </c>
      <c r="N13" s="3" t="s">
        <v>147</v>
      </c>
      <c r="O13" s="3" t="s">
        <v>148</v>
      </c>
      <c r="Q13" s="4" t="n">
        <v>15794837</v>
      </c>
      <c r="R13" s="4" t="n">
        <v>6056416</v>
      </c>
      <c r="S13" s="5" t="n">
        <f aca="false">R13/Q13</f>
        <v>0.383442766772459</v>
      </c>
      <c r="T13" s="6" t="n">
        <v>8661904</v>
      </c>
      <c r="U13" s="6" t="n">
        <v>139349</v>
      </c>
      <c r="V13" s="6" t="n">
        <v>937168</v>
      </c>
      <c r="W13" s="7" t="n">
        <v>15290737</v>
      </c>
      <c r="X13" s="8" t="n">
        <f aca="false">W13/Q13</f>
        <v>0.968084507614735</v>
      </c>
      <c r="AA13" s="9" t="n">
        <v>5980501</v>
      </c>
      <c r="AB13" s="9" t="n">
        <v>1233428</v>
      </c>
      <c r="AC13" s="10" t="n">
        <f aca="false">(AA13+AB13)/Q13</f>
        <v>0.456727030484708</v>
      </c>
      <c r="AD13" s="11" t="n">
        <v>8572959</v>
      </c>
      <c r="AE13" s="12" t="n">
        <v>0.5825</v>
      </c>
      <c r="AF13" s="11" t="n">
        <v>485581</v>
      </c>
      <c r="AG13" s="12" t="n">
        <v>0.033</v>
      </c>
      <c r="AH13" s="11" t="n">
        <v>5659780</v>
      </c>
      <c r="AI13" s="13" t="n">
        <v>0.3845</v>
      </c>
      <c r="AJ13" s="14" t="n">
        <v>2460492</v>
      </c>
      <c r="AK13" s="14" t="n">
        <v>708855</v>
      </c>
      <c r="AL13" s="15" t="n">
        <f aca="false">(AK13+AJ13)/W13</f>
        <v>0.207272350574076</v>
      </c>
      <c r="AM13" s="15" t="n">
        <f aca="false">(AK13+AJ13)/Q13</f>
        <v>0.200657151447653</v>
      </c>
      <c r="AP13" s="1" t="s">
        <v>66</v>
      </c>
      <c r="AQ13" s="1" t="n">
        <v>14</v>
      </c>
      <c r="AR13" s="1" t="s">
        <v>149</v>
      </c>
      <c r="AS13" s="1" t="s">
        <v>68</v>
      </c>
      <c r="AT13" s="1" t="s">
        <v>69</v>
      </c>
      <c r="AU13" s="1" t="s">
        <v>145</v>
      </c>
      <c r="AV13" s="1" t="s">
        <v>146</v>
      </c>
      <c r="AX13" s="1" t="s">
        <v>131</v>
      </c>
      <c r="AY13" s="1" t="s">
        <v>57</v>
      </c>
      <c r="AZ13" s="1" t="s">
        <v>58</v>
      </c>
      <c r="BA13" s="1" t="str">
        <f aca="false">CONCATENATE(AX13, "_", AY13)</f>
        <v>wt_dlgn</v>
      </c>
      <c r="BB13" s="1" t="s">
        <v>70</v>
      </c>
      <c r="BC13" s="1" t="s">
        <v>150</v>
      </c>
      <c r="BD13" s="1" t="s">
        <v>57</v>
      </c>
    </row>
    <row r="14" customFormat="false" ht="15" hidden="false" customHeight="false" outlineLevel="0" collapsed="false">
      <c r="A14" s="1" t="s">
        <v>151</v>
      </c>
      <c r="B14" s="1" t="s">
        <v>131</v>
      </c>
      <c r="C14" s="1" t="s">
        <v>80</v>
      </c>
      <c r="D14" s="1" t="s">
        <v>58</v>
      </c>
      <c r="E14" s="1" t="s">
        <v>152</v>
      </c>
      <c r="F14" s="1" t="s">
        <v>82</v>
      </c>
      <c r="G14" s="1" t="s">
        <v>153</v>
      </c>
      <c r="H14" s="1" t="s">
        <v>154</v>
      </c>
      <c r="I14" s="1" t="n">
        <v>4</v>
      </c>
      <c r="J14" s="1" t="s">
        <v>63</v>
      </c>
      <c r="N14" s="3" t="s">
        <v>155</v>
      </c>
      <c r="O14" s="3" t="s">
        <v>156</v>
      </c>
      <c r="Q14" s="4" t="n">
        <v>15775224</v>
      </c>
      <c r="R14" s="4" t="n">
        <v>6094043</v>
      </c>
      <c r="S14" s="5" t="n">
        <f aca="false">R14/Q14</f>
        <v>0.386304688922325</v>
      </c>
      <c r="T14" s="6" t="n">
        <v>8876775</v>
      </c>
      <c r="U14" s="6" t="n">
        <v>131880</v>
      </c>
      <c r="V14" s="6" t="n">
        <v>672526</v>
      </c>
      <c r="W14" s="7" t="n">
        <v>15327351</v>
      </c>
      <c r="X14" s="8" t="n">
        <f aca="false">W14/Q14</f>
        <v>0.97160908776953</v>
      </c>
      <c r="AA14" s="9" t="n">
        <v>9320058</v>
      </c>
      <c r="AB14" s="9" t="n">
        <v>1156166</v>
      </c>
      <c r="AC14" s="10" t="n">
        <f aca="false">(AA14+AB14)/Q14</f>
        <v>0.664093517784597</v>
      </c>
      <c r="AD14" s="11" t="n">
        <v>4950093</v>
      </c>
      <c r="AE14" s="12" t="n">
        <v>0.3306</v>
      </c>
      <c r="AF14" s="11" t="n">
        <v>506909</v>
      </c>
      <c r="AG14" s="12" t="n">
        <v>0.0339</v>
      </c>
      <c r="AH14" s="11" t="n">
        <v>9513816</v>
      </c>
      <c r="AI14" s="13" t="n">
        <v>0.6355</v>
      </c>
      <c r="AJ14" s="14" t="n">
        <v>3522006</v>
      </c>
      <c r="AK14" s="14" t="n">
        <v>601166</v>
      </c>
      <c r="AL14" s="15" t="n">
        <f aca="false">(AK14+AJ14)/W14</f>
        <v>0.269007475590531</v>
      </c>
      <c r="AM14" s="15" t="n">
        <f aca="false">(AK14+AJ14)/Q14</f>
        <v>0.2613701079617</v>
      </c>
      <c r="AP14" s="1" t="s">
        <v>66</v>
      </c>
      <c r="AQ14" s="1" t="n">
        <v>3</v>
      </c>
      <c r="AR14" s="1" t="s">
        <v>157</v>
      </c>
      <c r="AS14" s="1" t="s">
        <v>68</v>
      </c>
      <c r="AT14" s="1" t="s">
        <v>69</v>
      </c>
      <c r="AU14" s="1" t="s">
        <v>153</v>
      </c>
      <c r="AV14" s="1" t="s">
        <v>154</v>
      </c>
      <c r="AX14" s="1" t="s">
        <v>131</v>
      </c>
      <c r="AY14" s="1" t="s">
        <v>80</v>
      </c>
      <c r="AZ14" s="1" t="s">
        <v>58</v>
      </c>
      <c r="BA14" s="1" t="str">
        <f aca="false">CONCATENATE(AX14, "_", AY14)</f>
        <v>wt_retina</v>
      </c>
      <c r="BB14" s="1" t="s">
        <v>70</v>
      </c>
      <c r="BC14" s="1" t="s">
        <v>71</v>
      </c>
      <c r="BD14" s="1" t="s">
        <v>80</v>
      </c>
    </row>
    <row r="15" customFormat="false" ht="15" hidden="false" customHeight="false" outlineLevel="0" collapsed="false">
      <c r="A15" s="1" t="s">
        <v>158</v>
      </c>
      <c r="B15" s="1" t="s">
        <v>131</v>
      </c>
      <c r="C15" s="1" t="s">
        <v>80</v>
      </c>
      <c r="D15" s="1" t="s">
        <v>58</v>
      </c>
      <c r="E15" s="1" t="s">
        <v>152</v>
      </c>
      <c r="F15" s="1" t="s">
        <v>82</v>
      </c>
      <c r="G15" s="1" t="s">
        <v>159</v>
      </c>
      <c r="H15" s="1" t="s">
        <v>160</v>
      </c>
      <c r="I15" s="1" t="n">
        <v>4</v>
      </c>
      <c r="J15" s="1" t="s">
        <v>63</v>
      </c>
      <c r="N15" s="3" t="s">
        <v>161</v>
      </c>
      <c r="O15" s="3" t="s">
        <v>162</v>
      </c>
      <c r="Q15" s="4" t="n">
        <v>16328183</v>
      </c>
      <c r="R15" s="4" t="n">
        <v>6160227</v>
      </c>
      <c r="S15" s="5" t="n">
        <f aca="false">R15/Q15</f>
        <v>0.377275720145959</v>
      </c>
      <c r="T15" s="6" t="n">
        <v>8655792</v>
      </c>
      <c r="U15" s="6" t="n">
        <v>155114</v>
      </c>
      <c r="V15" s="6" t="n">
        <v>1357050</v>
      </c>
      <c r="W15" s="7" t="n">
        <v>15648822</v>
      </c>
      <c r="X15" s="8" t="n">
        <f aca="false">W15/Q15</f>
        <v>0.958393349707068</v>
      </c>
      <c r="AA15" s="9" t="n">
        <v>8782932</v>
      </c>
      <c r="AB15" s="9" t="n">
        <v>1128430</v>
      </c>
      <c r="AC15" s="10" t="n">
        <f aca="false">(AA15+AB15)/Q15</f>
        <v>0.607009487828499</v>
      </c>
      <c r="AD15" s="11" t="n">
        <v>3564544</v>
      </c>
      <c r="AE15" s="12" t="n">
        <v>0.2406</v>
      </c>
      <c r="AF15" s="11" t="n">
        <v>282107</v>
      </c>
      <c r="AG15" s="12" t="n">
        <v>0.019</v>
      </c>
      <c r="AH15" s="11" t="n">
        <v>10969368</v>
      </c>
      <c r="AI15" s="13" t="n">
        <v>0.7404</v>
      </c>
      <c r="AJ15" s="14" t="n">
        <v>3382787</v>
      </c>
      <c r="AK15" s="14" t="n">
        <v>555319</v>
      </c>
      <c r="AL15" s="15" t="n">
        <f aca="false">(AK15+AJ15)/W15</f>
        <v>0.251655108608175</v>
      </c>
      <c r="AM15" s="15" t="n">
        <f aca="false">(AK15+AJ15)/Q15</f>
        <v>0.241184582509885</v>
      </c>
      <c r="AP15" s="1" t="s">
        <v>66</v>
      </c>
      <c r="AQ15" s="1" t="n">
        <v>4</v>
      </c>
      <c r="AR15" s="1" t="s">
        <v>163</v>
      </c>
      <c r="AS15" s="1" t="s">
        <v>68</v>
      </c>
      <c r="AT15" s="1" t="s">
        <v>69</v>
      </c>
      <c r="AU15" s="1" t="s">
        <v>159</v>
      </c>
      <c r="AV15" s="1" t="s">
        <v>160</v>
      </c>
      <c r="AX15" s="1" t="s">
        <v>131</v>
      </c>
      <c r="AY15" s="1" t="s">
        <v>80</v>
      </c>
      <c r="AZ15" s="1" t="s">
        <v>58</v>
      </c>
      <c r="BA15" s="1" t="str">
        <f aca="false">CONCATENATE(AX15, "_", AY15)</f>
        <v>wt_retina</v>
      </c>
      <c r="BB15" s="1" t="s">
        <v>70</v>
      </c>
      <c r="BC15" s="1" t="s">
        <v>78</v>
      </c>
      <c r="BD15" s="1" t="s">
        <v>80</v>
      </c>
    </row>
    <row r="16" customFormat="false" ht="15" hidden="false" customHeight="false" outlineLevel="0" collapsed="false">
      <c r="A16" s="1" t="s">
        <v>164</v>
      </c>
      <c r="B16" s="1" t="s">
        <v>131</v>
      </c>
      <c r="C16" s="1" t="s">
        <v>80</v>
      </c>
      <c r="D16" s="1" t="s">
        <v>58</v>
      </c>
      <c r="E16" s="1" t="s">
        <v>152</v>
      </c>
      <c r="F16" s="1" t="s">
        <v>82</v>
      </c>
      <c r="G16" s="1" t="s">
        <v>165</v>
      </c>
      <c r="H16" s="1" t="s">
        <v>166</v>
      </c>
      <c r="I16" s="1" t="n">
        <v>4</v>
      </c>
      <c r="J16" s="1" t="s">
        <v>63</v>
      </c>
      <c r="N16" s="3" t="s">
        <v>167</v>
      </c>
      <c r="O16" s="3" t="s">
        <v>168</v>
      </c>
      <c r="Q16" s="4" t="n">
        <v>24180028</v>
      </c>
      <c r="R16" s="4" t="n">
        <v>9053454</v>
      </c>
      <c r="S16" s="5" t="n">
        <f aca="false">R16/Q16</f>
        <v>0.374418673129742</v>
      </c>
      <c r="T16" s="6" t="n">
        <v>13014766</v>
      </c>
      <c r="U16" s="6" t="n">
        <v>212621</v>
      </c>
      <c r="V16" s="6" t="n">
        <v>1899187</v>
      </c>
      <c r="W16" s="7" t="n">
        <v>23269354</v>
      </c>
      <c r="X16" s="8" t="n">
        <f aca="false">W16/Q16</f>
        <v>0.962337760733776</v>
      </c>
      <c r="AA16" s="9" t="n">
        <v>13923768</v>
      </c>
      <c r="AB16" s="9" t="n">
        <v>2032992</v>
      </c>
      <c r="AC16" s="10" t="n">
        <f aca="false">(AA16+AB16)/Q16</f>
        <v>0.659914868584933</v>
      </c>
      <c r="AD16" s="11" t="n">
        <v>4499355</v>
      </c>
      <c r="AE16" s="12" t="n">
        <v>0.2039</v>
      </c>
      <c r="AF16" s="11" t="n">
        <v>444836</v>
      </c>
      <c r="AG16" s="12" t="n">
        <v>0.0202</v>
      </c>
      <c r="AH16" s="11" t="n">
        <v>17124029</v>
      </c>
      <c r="AI16" s="13" t="n">
        <v>0.776</v>
      </c>
      <c r="AJ16" s="14" t="n">
        <v>5278142</v>
      </c>
      <c r="AK16" s="14" t="n">
        <v>931930</v>
      </c>
      <c r="AL16" s="15" t="n">
        <f aca="false">(AK16+AJ16)/W16</f>
        <v>0.266877713923644</v>
      </c>
      <c r="AM16" s="15" t="n">
        <f aca="false">(AK16+AJ16)/Q16</f>
        <v>0.256826501607029</v>
      </c>
      <c r="AP16" s="1" t="s">
        <v>66</v>
      </c>
      <c r="AQ16" s="1" t="n">
        <v>5</v>
      </c>
      <c r="AR16" s="1" t="s">
        <v>169</v>
      </c>
      <c r="AS16" s="1" t="s">
        <v>68</v>
      </c>
      <c r="AT16" s="1" t="s">
        <v>69</v>
      </c>
      <c r="AU16" s="1" t="s">
        <v>165</v>
      </c>
      <c r="AV16" s="1" t="s">
        <v>166</v>
      </c>
      <c r="AX16" s="1" t="s">
        <v>131</v>
      </c>
      <c r="AY16" s="1" t="s">
        <v>80</v>
      </c>
      <c r="AZ16" s="1" t="s">
        <v>58</v>
      </c>
      <c r="BA16" s="1" t="str">
        <f aca="false">CONCATENATE(AX16, "_", AY16)</f>
        <v>wt_retina</v>
      </c>
      <c r="BB16" s="1" t="s">
        <v>70</v>
      </c>
      <c r="BC16" s="1" t="s">
        <v>150</v>
      </c>
      <c r="BD16" s="1" t="s">
        <v>80</v>
      </c>
    </row>
    <row r="17" customFormat="false" ht="15" hidden="false" customHeight="false" outlineLevel="0" collapsed="false">
      <c r="A17" s="1" t="s">
        <v>170</v>
      </c>
      <c r="B17" s="1" t="s">
        <v>131</v>
      </c>
      <c r="C17" s="1" t="s">
        <v>95</v>
      </c>
      <c r="D17" s="1" t="s">
        <v>58</v>
      </c>
      <c r="E17" s="1" t="s">
        <v>171</v>
      </c>
      <c r="F17" s="1" t="s">
        <v>60</v>
      </c>
      <c r="G17" s="1" t="s">
        <v>172</v>
      </c>
      <c r="H17" s="1" t="s">
        <v>173</v>
      </c>
      <c r="I17" s="1" t="n">
        <v>4</v>
      </c>
      <c r="J17" s="1" t="s">
        <v>63</v>
      </c>
      <c r="N17" s="3" t="s">
        <v>174</v>
      </c>
      <c r="O17" s="3" t="s">
        <v>175</v>
      </c>
      <c r="Q17" s="4" t="n">
        <v>17538867</v>
      </c>
      <c r="R17" s="4" t="n">
        <v>5891680</v>
      </c>
      <c r="S17" s="5" t="n">
        <f aca="false">R17/Q17</f>
        <v>0.33592135683565</v>
      </c>
      <c r="T17" s="6" t="n">
        <v>8619704</v>
      </c>
      <c r="U17" s="6" t="n">
        <v>126846</v>
      </c>
      <c r="V17" s="6" t="n">
        <v>2900637</v>
      </c>
      <c r="W17" s="7" t="n">
        <v>16006650</v>
      </c>
      <c r="X17" s="8" t="n">
        <f aca="false">W17/Q17</f>
        <v>0.912638769653707</v>
      </c>
      <c r="AA17" s="9" t="n">
        <v>4119038</v>
      </c>
      <c r="AB17" s="9" t="n">
        <v>884696</v>
      </c>
      <c r="AC17" s="10" t="n">
        <f aca="false">(AA17+AB17)/Q17</f>
        <v>0.285294027259572</v>
      </c>
      <c r="AD17" s="11" t="n">
        <v>5596546</v>
      </c>
      <c r="AE17" s="12" t="n">
        <v>0.3857</v>
      </c>
      <c r="AF17" s="11" t="n">
        <v>267421</v>
      </c>
      <c r="AG17" s="12" t="n">
        <v>0.0184</v>
      </c>
      <c r="AH17" s="11" t="n">
        <v>8647417</v>
      </c>
      <c r="AI17" s="13" t="n">
        <v>0.5959</v>
      </c>
      <c r="AJ17" s="14" t="n">
        <v>1670154</v>
      </c>
      <c r="AK17" s="14" t="n">
        <v>491774</v>
      </c>
      <c r="AL17" s="15" t="n">
        <f aca="false">(AK17+AJ17)/W17</f>
        <v>0.135064363873765</v>
      </c>
      <c r="AM17" s="15" t="n">
        <f aca="false">(AK17+AJ17)/Q17</f>
        <v>0.123264974869813</v>
      </c>
      <c r="AP17" s="1" t="s">
        <v>66</v>
      </c>
      <c r="AQ17" s="1" t="n">
        <v>23</v>
      </c>
      <c r="AR17" s="1" t="s">
        <v>176</v>
      </c>
      <c r="AS17" s="1" t="s">
        <v>68</v>
      </c>
      <c r="AT17" s="1" t="s">
        <v>69</v>
      </c>
      <c r="AU17" s="1" t="s">
        <v>172</v>
      </c>
      <c r="AV17" s="1" t="s">
        <v>173</v>
      </c>
      <c r="AX17" s="1" t="s">
        <v>131</v>
      </c>
      <c r="AY17" s="1" t="s">
        <v>95</v>
      </c>
      <c r="AZ17" s="1" t="s">
        <v>58</v>
      </c>
      <c r="BA17" s="1" t="str">
        <f aca="false">CONCATENATE(AX17, "_", AY17)</f>
        <v>wt_scn</v>
      </c>
      <c r="BB17" s="1" t="s">
        <v>70</v>
      </c>
      <c r="BC17" s="1" t="s">
        <v>150</v>
      </c>
      <c r="BD17" s="1" t="s">
        <v>95</v>
      </c>
    </row>
    <row r="18" customFormat="false" ht="15" hidden="false" customHeight="false" outlineLevel="0" collapsed="false">
      <c r="A18" s="1" t="s">
        <v>177</v>
      </c>
      <c r="B18" s="1" t="s">
        <v>131</v>
      </c>
      <c r="C18" s="1" t="s">
        <v>57</v>
      </c>
      <c r="D18" s="1" t="s">
        <v>178</v>
      </c>
      <c r="E18" s="1" t="s">
        <v>132</v>
      </c>
      <c r="F18" s="1" t="s">
        <v>60</v>
      </c>
      <c r="G18" s="1" t="s">
        <v>179</v>
      </c>
      <c r="H18" s="1" t="s">
        <v>180</v>
      </c>
      <c r="I18" s="1" t="n">
        <v>4</v>
      </c>
      <c r="J18" s="1" t="s">
        <v>63</v>
      </c>
      <c r="N18" s="3" t="s">
        <v>181</v>
      </c>
      <c r="O18" s="3" t="s">
        <v>182</v>
      </c>
      <c r="Q18" s="4" t="n">
        <v>14592770</v>
      </c>
      <c r="R18" s="4" t="n">
        <v>5438096</v>
      </c>
      <c r="S18" s="5" t="n">
        <f aca="false">R18/Q18</f>
        <v>0.372656870491346</v>
      </c>
      <c r="T18" s="6" t="n">
        <v>7691355</v>
      </c>
      <c r="U18" s="6" t="n">
        <v>121314</v>
      </c>
      <c r="V18" s="6" t="n">
        <v>1342005</v>
      </c>
      <c r="W18" s="7" t="n">
        <v>13859237</v>
      </c>
      <c r="X18" s="8" t="n">
        <f aca="false">W18/Q18</f>
        <v>0.949733121264846</v>
      </c>
      <c r="AA18" s="9" t="n">
        <v>5936704</v>
      </c>
      <c r="AB18" s="9" t="n">
        <v>818753</v>
      </c>
      <c r="AC18" s="10" t="n">
        <f aca="false">(AA18+AB18)/Q18</f>
        <v>0.462931780600941</v>
      </c>
      <c r="AD18" s="11" t="n">
        <v>5098110</v>
      </c>
      <c r="AE18" s="12" t="n">
        <v>0.3883</v>
      </c>
      <c r="AF18" s="11" t="n">
        <v>254988</v>
      </c>
      <c r="AG18" s="12" t="n">
        <v>0.0194</v>
      </c>
      <c r="AH18" s="11" t="n">
        <v>7776353</v>
      </c>
      <c r="AI18" s="13" t="n">
        <v>0.5923</v>
      </c>
      <c r="AJ18" s="14" t="n">
        <v>2371742</v>
      </c>
      <c r="AK18" s="14" t="n">
        <v>482775</v>
      </c>
      <c r="AL18" s="15" t="n">
        <f aca="false">(AK18+AJ18)/W18</f>
        <v>0.205964945977906</v>
      </c>
      <c r="AM18" s="15" t="n">
        <f aca="false">(AK18+AJ18)/Q18</f>
        <v>0.195611731014742</v>
      </c>
      <c r="AP18" s="1" t="s">
        <v>66</v>
      </c>
      <c r="AQ18" s="1" t="n">
        <v>15</v>
      </c>
      <c r="AR18" s="1" t="s">
        <v>183</v>
      </c>
      <c r="AS18" s="1" t="s">
        <v>68</v>
      </c>
      <c r="AT18" s="1" t="s">
        <v>69</v>
      </c>
      <c r="AU18" s="1" t="s">
        <v>179</v>
      </c>
      <c r="AV18" s="1" t="s">
        <v>180</v>
      </c>
      <c r="AX18" s="1" t="s">
        <v>131</v>
      </c>
      <c r="AY18" s="1" t="s">
        <v>57</v>
      </c>
      <c r="AZ18" s="1" t="s">
        <v>178</v>
      </c>
      <c r="BA18" s="1" t="str">
        <f aca="false">CONCATENATE(AX18, "_", AY18)</f>
        <v>wt_dlgn</v>
      </c>
      <c r="BB18" s="1" t="s">
        <v>70</v>
      </c>
      <c r="BC18" s="1" t="s">
        <v>71</v>
      </c>
      <c r="BD18" s="1" t="s">
        <v>57</v>
      </c>
    </row>
    <row r="19" customFormat="false" ht="15" hidden="false" customHeight="false" outlineLevel="0" collapsed="false">
      <c r="A19" s="1" t="s">
        <v>184</v>
      </c>
      <c r="B19" s="1" t="s">
        <v>131</v>
      </c>
      <c r="C19" s="1" t="s">
        <v>80</v>
      </c>
      <c r="D19" s="1" t="s">
        <v>178</v>
      </c>
      <c r="E19" s="1" t="s">
        <v>152</v>
      </c>
      <c r="F19" s="1" t="s">
        <v>82</v>
      </c>
      <c r="G19" s="1" t="s">
        <v>185</v>
      </c>
      <c r="H19" s="1" t="s">
        <v>186</v>
      </c>
      <c r="I19" s="1" t="n">
        <v>4</v>
      </c>
      <c r="J19" s="1" t="s">
        <v>63</v>
      </c>
      <c r="N19" s="3" t="s">
        <v>187</v>
      </c>
      <c r="O19" s="3" t="s">
        <v>188</v>
      </c>
      <c r="Q19" s="4" t="n">
        <v>16045946</v>
      </c>
      <c r="R19" s="4" t="n">
        <v>5908876</v>
      </c>
      <c r="S19" s="5" t="n">
        <f aca="false">R19/Q19</f>
        <v>0.368247281899116</v>
      </c>
      <c r="T19" s="6" t="n">
        <v>8413922</v>
      </c>
      <c r="U19" s="6" t="n">
        <v>144173</v>
      </c>
      <c r="V19" s="6" t="n">
        <v>1578975</v>
      </c>
      <c r="W19" s="7" t="n">
        <v>15240052</v>
      </c>
      <c r="X19" s="8" t="n">
        <f aca="false">W19/Q19</f>
        <v>0.949775849924959</v>
      </c>
      <c r="AA19" s="9" t="n">
        <v>9370856</v>
      </c>
      <c r="AB19" s="9" t="n">
        <v>1045653</v>
      </c>
      <c r="AC19" s="10" t="n">
        <f aca="false">(AA19+AB19)/Q19</f>
        <v>0.649167646457242</v>
      </c>
      <c r="AD19" s="11" t="n">
        <v>2482624</v>
      </c>
      <c r="AE19" s="12" t="n">
        <v>0.1733</v>
      </c>
      <c r="AF19" s="11" t="n">
        <v>180041</v>
      </c>
      <c r="AG19" s="12" t="n">
        <v>0.0126</v>
      </c>
      <c r="AH19" s="11" t="n">
        <v>11660133</v>
      </c>
      <c r="AI19" s="13" t="n">
        <v>0.8141</v>
      </c>
      <c r="AJ19" s="14" t="n">
        <v>3560804</v>
      </c>
      <c r="AK19" s="14" t="n">
        <v>522467</v>
      </c>
      <c r="AL19" s="15" t="n">
        <f aca="false">(AK19+AJ19)/W19</f>
        <v>0.267930253781286</v>
      </c>
      <c r="AM19" s="15" t="n">
        <f aca="false">(AK19+AJ19)/Q19</f>
        <v>0.254473684505731</v>
      </c>
      <c r="AP19" s="1" t="s">
        <v>66</v>
      </c>
      <c r="AQ19" s="1" t="n">
        <v>6</v>
      </c>
      <c r="AR19" s="1" t="s">
        <v>189</v>
      </c>
      <c r="AS19" s="1" t="s">
        <v>68</v>
      </c>
      <c r="AT19" s="1" t="s">
        <v>69</v>
      </c>
      <c r="AU19" s="1" t="s">
        <v>185</v>
      </c>
      <c r="AV19" s="1" t="s">
        <v>186</v>
      </c>
      <c r="AX19" s="1" t="s">
        <v>131</v>
      </c>
      <c r="AY19" s="1" t="s">
        <v>80</v>
      </c>
      <c r="AZ19" s="1" t="s">
        <v>178</v>
      </c>
      <c r="BA19" s="1" t="str">
        <f aca="false">CONCATENATE(AX19, "_", AY19)</f>
        <v>wt_retina</v>
      </c>
      <c r="BB19" s="1" t="s">
        <v>70</v>
      </c>
      <c r="BC19" s="1" t="s">
        <v>71</v>
      </c>
      <c r="BD19" s="1" t="s">
        <v>80</v>
      </c>
    </row>
    <row r="20" customFormat="false" ht="15" hidden="false" customHeight="false" outlineLevel="0" collapsed="false">
      <c r="A20" s="1" t="s">
        <v>190</v>
      </c>
      <c r="B20" s="1" t="s">
        <v>131</v>
      </c>
      <c r="C20" s="1" t="s">
        <v>95</v>
      </c>
      <c r="D20" s="1" t="s">
        <v>178</v>
      </c>
      <c r="E20" s="1" t="s">
        <v>171</v>
      </c>
      <c r="F20" s="1" t="s">
        <v>60</v>
      </c>
      <c r="G20" s="1" t="s">
        <v>191</v>
      </c>
      <c r="H20" s="1" t="s">
        <v>192</v>
      </c>
      <c r="I20" s="1" t="n">
        <v>4</v>
      </c>
      <c r="J20" s="1" t="s">
        <v>63</v>
      </c>
      <c r="N20" s="3" t="s">
        <v>193</v>
      </c>
      <c r="O20" s="3" t="s">
        <v>194</v>
      </c>
      <c r="Q20" s="4" t="n">
        <v>18581702</v>
      </c>
      <c r="R20" s="4" t="n">
        <v>4848982</v>
      </c>
      <c r="S20" s="5" t="n">
        <f aca="false">R20/Q20</f>
        <v>0.260954674657897</v>
      </c>
      <c r="T20" s="6" t="n">
        <v>6919213</v>
      </c>
      <c r="U20" s="6" t="n">
        <v>144841</v>
      </c>
      <c r="V20" s="6" t="n">
        <v>6668666</v>
      </c>
      <c r="W20" s="7" t="n">
        <v>14995644</v>
      </c>
      <c r="X20" s="8" t="n">
        <f aca="false">W20/Q20</f>
        <v>0.807011327595287</v>
      </c>
      <c r="AA20" s="9" t="n">
        <v>3969362</v>
      </c>
      <c r="AB20" s="9" t="n">
        <v>738697</v>
      </c>
      <c r="AC20" s="10" t="n">
        <f aca="false">(AA20+AB20)/Q20</f>
        <v>0.253370708452864</v>
      </c>
      <c r="AD20" s="11" t="n">
        <v>2388467</v>
      </c>
      <c r="AE20" s="12" t="n">
        <v>0.203</v>
      </c>
      <c r="AF20" s="11" t="n">
        <v>164544</v>
      </c>
      <c r="AG20" s="12" t="n">
        <v>0.014</v>
      </c>
      <c r="AH20" s="11" t="n">
        <v>9215184</v>
      </c>
      <c r="AI20" s="13" t="n">
        <v>0.7831</v>
      </c>
      <c r="AJ20" s="14" t="n">
        <v>1568969</v>
      </c>
      <c r="AK20" s="14" t="n">
        <v>370537</v>
      </c>
      <c r="AL20" s="15" t="n">
        <f aca="false">(AK20+AJ20)/W20</f>
        <v>0.12933795974351</v>
      </c>
      <c r="AM20" s="15" t="n">
        <f aca="false">(AK20+AJ20)/Q20</f>
        <v>0.104377198601075</v>
      </c>
      <c r="AP20" s="1" t="s">
        <v>66</v>
      </c>
      <c r="AQ20" s="1" t="n">
        <v>24</v>
      </c>
      <c r="AR20" s="1" t="s">
        <v>195</v>
      </c>
      <c r="AS20" s="1" t="s">
        <v>68</v>
      </c>
      <c r="AT20" s="1" t="s">
        <v>69</v>
      </c>
      <c r="AU20" s="1" t="s">
        <v>191</v>
      </c>
      <c r="AV20" s="1" t="s">
        <v>192</v>
      </c>
      <c r="AX20" s="1" t="s">
        <v>131</v>
      </c>
      <c r="AY20" s="1" t="s">
        <v>95</v>
      </c>
      <c r="AZ20" s="1" t="s">
        <v>178</v>
      </c>
      <c r="BA20" s="1" t="str">
        <f aca="false">CONCATENATE(AX20, "_", AY20)</f>
        <v>wt_scn</v>
      </c>
      <c r="BB20" s="1" t="s">
        <v>70</v>
      </c>
      <c r="BC20" s="1" t="s">
        <v>71</v>
      </c>
      <c r="BD20" s="1" t="s">
        <v>95</v>
      </c>
    </row>
    <row r="21" customFormat="false" ht="15" hidden="false" customHeight="false" outlineLevel="0" collapsed="false">
      <c r="A21" s="1" t="s">
        <v>196</v>
      </c>
      <c r="B21" s="1" t="s">
        <v>131</v>
      </c>
      <c r="C21" s="1" t="s">
        <v>57</v>
      </c>
      <c r="D21" s="1" t="s">
        <v>197</v>
      </c>
      <c r="E21" s="1" t="s">
        <v>132</v>
      </c>
      <c r="F21" s="1" t="s">
        <v>60</v>
      </c>
      <c r="G21" s="1" t="s">
        <v>198</v>
      </c>
      <c r="H21" s="1" t="s">
        <v>199</v>
      </c>
      <c r="I21" s="1" t="n">
        <v>4</v>
      </c>
      <c r="J21" s="1" t="s">
        <v>63</v>
      </c>
      <c r="N21" s="3" t="s">
        <v>200</v>
      </c>
      <c r="O21" s="3" t="s">
        <v>201</v>
      </c>
      <c r="Q21" s="4" t="n">
        <v>16532098</v>
      </c>
      <c r="R21" s="4" t="n">
        <v>6408776</v>
      </c>
      <c r="S21" s="5" t="n">
        <f aca="false">R21/Q21</f>
        <v>0.387656545466885</v>
      </c>
      <c r="T21" s="6" t="n">
        <v>8634609</v>
      </c>
      <c r="U21" s="6" t="n">
        <v>160717</v>
      </c>
      <c r="V21" s="6" t="n">
        <v>1327996</v>
      </c>
      <c r="W21" s="7" t="n">
        <v>15768927</v>
      </c>
      <c r="X21" s="8" t="n">
        <f aca="false">W21/Q21</f>
        <v>0.953837014515641</v>
      </c>
      <c r="AA21" s="9" t="n">
        <v>6300618</v>
      </c>
      <c r="AB21" s="9" t="n">
        <v>1191976</v>
      </c>
      <c r="AC21" s="10" t="n">
        <f aca="false">(AA21+AB21)/Q21</f>
        <v>0.453214951907495</v>
      </c>
      <c r="AD21" s="11" t="n">
        <v>7013653</v>
      </c>
      <c r="AE21" s="12" t="n">
        <v>0.4662</v>
      </c>
      <c r="AF21" s="11" t="n">
        <v>334632</v>
      </c>
      <c r="AG21" s="12" t="n">
        <v>0.0222</v>
      </c>
      <c r="AH21" s="11" t="n">
        <v>7695100</v>
      </c>
      <c r="AI21" s="13" t="n">
        <v>0.5115</v>
      </c>
      <c r="AJ21" s="14" t="n">
        <v>2673009</v>
      </c>
      <c r="AK21" s="14" t="n">
        <v>654361</v>
      </c>
      <c r="AL21" s="15" t="n">
        <f aca="false">(AK21+AJ21)/W21</f>
        <v>0.211008015954415</v>
      </c>
      <c r="AM21" s="15" t="n">
        <f aca="false">(AK21+AJ21)/Q21</f>
        <v>0.201267255976828</v>
      </c>
      <c r="AP21" s="1" t="s">
        <v>66</v>
      </c>
      <c r="AQ21" s="1" t="n">
        <v>10</v>
      </c>
      <c r="AR21" s="1" t="s">
        <v>202</v>
      </c>
      <c r="AS21" s="1" t="s">
        <v>68</v>
      </c>
      <c r="AT21" s="1" t="s">
        <v>69</v>
      </c>
      <c r="AU21" s="1" t="s">
        <v>198</v>
      </c>
      <c r="AV21" s="1" t="s">
        <v>199</v>
      </c>
      <c r="AX21" s="1" t="s">
        <v>131</v>
      </c>
      <c r="AY21" s="1" t="s">
        <v>57</v>
      </c>
      <c r="AZ21" s="1" t="s">
        <v>197</v>
      </c>
      <c r="BA21" s="1" t="str">
        <f aca="false">CONCATENATE(AX21, "_", AY21)</f>
        <v>wt_dlgn</v>
      </c>
      <c r="BB21" s="1" t="s">
        <v>70</v>
      </c>
      <c r="BC21" s="1" t="s">
        <v>71</v>
      </c>
      <c r="BD21" s="1" t="s">
        <v>57</v>
      </c>
    </row>
    <row r="22" customFormat="false" ht="15" hidden="false" customHeight="false" outlineLevel="0" collapsed="false">
      <c r="A22" s="1" t="s">
        <v>203</v>
      </c>
      <c r="B22" s="1" t="s">
        <v>131</v>
      </c>
      <c r="C22" s="1" t="s">
        <v>57</v>
      </c>
      <c r="D22" s="1" t="s">
        <v>197</v>
      </c>
      <c r="E22" s="1" t="s">
        <v>132</v>
      </c>
      <c r="F22" s="1" t="s">
        <v>60</v>
      </c>
      <c r="G22" s="1" t="s">
        <v>204</v>
      </c>
      <c r="H22" s="1" t="s">
        <v>205</v>
      </c>
      <c r="I22" s="1" t="n">
        <v>4</v>
      </c>
      <c r="J22" s="1" t="s">
        <v>63</v>
      </c>
      <c r="N22" s="3" t="s">
        <v>206</v>
      </c>
      <c r="O22" s="3" t="s">
        <v>207</v>
      </c>
      <c r="Q22" s="4" t="n">
        <v>15878311</v>
      </c>
      <c r="R22" s="4" t="n">
        <v>5957695</v>
      </c>
      <c r="S22" s="5" t="n">
        <f aca="false">R22/Q22</f>
        <v>0.375209617698003</v>
      </c>
      <c r="T22" s="6" t="n">
        <v>8664412</v>
      </c>
      <c r="U22" s="6" t="n">
        <v>137408</v>
      </c>
      <c r="V22" s="6" t="n">
        <v>1118796</v>
      </c>
      <c r="W22" s="7" t="n">
        <v>15308622</v>
      </c>
      <c r="X22" s="8" t="n">
        <f aca="false">W22/Q22</f>
        <v>0.964121561795836</v>
      </c>
      <c r="AA22" s="9" t="n">
        <v>6276247</v>
      </c>
      <c r="AB22" s="9" t="n">
        <v>1097569</v>
      </c>
      <c r="AC22" s="10" t="n">
        <f aca="false">(AA22+AB22)/Q22</f>
        <v>0.464395488915666</v>
      </c>
      <c r="AD22" s="11" t="n">
        <v>4686722</v>
      </c>
      <c r="AE22" s="12" t="n">
        <v>0.3205</v>
      </c>
      <c r="AF22" s="11" t="n">
        <v>323766</v>
      </c>
      <c r="AG22" s="12" t="n">
        <v>0.0221</v>
      </c>
      <c r="AH22" s="11" t="n">
        <v>9611619</v>
      </c>
      <c r="AI22" s="13" t="n">
        <v>0.6573</v>
      </c>
      <c r="AJ22" s="14" t="n">
        <v>2443165</v>
      </c>
      <c r="AK22" s="14" t="n">
        <v>556951</v>
      </c>
      <c r="AL22" s="15" t="n">
        <f aca="false">(AK22+AJ22)/W22</f>
        <v>0.195975575071355</v>
      </c>
      <c r="AM22" s="15" t="n">
        <f aca="false">(AK22+AJ22)/Q22</f>
        <v>0.188944277511632</v>
      </c>
      <c r="AP22" s="1" t="s">
        <v>66</v>
      </c>
      <c r="AQ22" s="1" t="n">
        <v>11</v>
      </c>
      <c r="AR22" s="1" t="s">
        <v>208</v>
      </c>
      <c r="AS22" s="1" t="s">
        <v>68</v>
      </c>
      <c r="AT22" s="1" t="s">
        <v>69</v>
      </c>
      <c r="AU22" s="1" t="s">
        <v>204</v>
      </c>
      <c r="AV22" s="1" t="s">
        <v>205</v>
      </c>
      <c r="AX22" s="1" t="s">
        <v>131</v>
      </c>
      <c r="AY22" s="1" t="s">
        <v>57</v>
      </c>
      <c r="AZ22" s="1" t="s">
        <v>197</v>
      </c>
      <c r="BA22" s="1" t="str">
        <f aca="false">CONCATENATE(AX22, "_", AY22)</f>
        <v>wt_dlgn</v>
      </c>
      <c r="BB22" s="1" t="s">
        <v>70</v>
      </c>
      <c r="BC22" s="1" t="s">
        <v>78</v>
      </c>
      <c r="BD22" s="1" t="s">
        <v>57</v>
      </c>
    </row>
    <row r="23" customFormat="false" ht="15" hidden="false" customHeight="false" outlineLevel="0" collapsed="false">
      <c r="A23" s="1" t="s">
        <v>209</v>
      </c>
      <c r="B23" s="1" t="s">
        <v>131</v>
      </c>
      <c r="C23" s="1" t="s">
        <v>80</v>
      </c>
      <c r="D23" s="1" t="s">
        <v>197</v>
      </c>
      <c r="E23" s="1" t="s">
        <v>152</v>
      </c>
      <c r="F23" s="1" t="s">
        <v>82</v>
      </c>
      <c r="G23" s="1" t="s">
        <v>210</v>
      </c>
      <c r="H23" s="1" t="s">
        <v>211</v>
      </c>
      <c r="I23" s="1" t="n">
        <v>4</v>
      </c>
      <c r="J23" s="1" t="s">
        <v>63</v>
      </c>
      <c r="N23" s="3" t="s">
        <v>212</v>
      </c>
      <c r="O23" s="3" t="s">
        <v>213</v>
      </c>
      <c r="Q23" s="4" t="n">
        <v>16082507</v>
      </c>
      <c r="R23" s="4" t="n">
        <v>6370746</v>
      </c>
      <c r="S23" s="5" t="n">
        <f aca="false">R23/Q23</f>
        <v>0.396128911991147</v>
      </c>
      <c r="T23" s="6" t="n">
        <v>8795845</v>
      </c>
      <c r="U23" s="6" t="n">
        <v>137211</v>
      </c>
      <c r="V23" s="6" t="n">
        <v>778705</v>
      </c>
      <c r="W23" s="7" t="n">
        <v>15698279</v>
      </c>
      <c r="X23" s="8" t="n">
        <f aca="false">W23/Q23</f>
        <v>0.976108948685674</v>
      </c>
      <c r="AA23" s="9" t="n">
        <v>9641795</v>
      </c>
      <c r="AB23" s="9" t="n">
        <v>3309802</v>
      </c>
      <c r="AC23" s="10" t="n">
        <f aca="false">(AA23+AB23)/Q23</f>
        <v>0.805322018513656</v>
      </c>
      <c r="AD23" s="11" t="n">
        <v>2613957</v>
      </c>
      <c r="AE23" s="12" t="n">
        <v>0.1723</v>
      </c>
      <c r="AF23" s="11" t="n">
        <v>139135</v>
      </c>
      <c r="AG23" s="12" t="n">
        <v>0.0092</v>
      </c>
      <c r="AH23" s="11" t="n">
        <v>12413499</v>
      </c>
      <c r="AI23" s="13" t="n">
        <v>0.8185</v>
      </c>
      <c r="AJ23" s="14" t="n">
        <v>3764124</v>
      </c>
      <c r="AK23" s="14" t="n">
        <v>1427725</v>
      </c>
      <c r="AL23" s="15" t="n">
        <f aca="false">(AK23+AJ23)/W23</f>
        <v>0.330727272715691</v>
      </c>
      <c r="AM23" s="15" t="n">
        <f aca="false">(AK23+AJ23)/Q23</f>
        <v>0.322825850472193</v>
      </c>
      <c r="AP23" s="1" t="s">
        <v>66</v>
      </c>
      <c r="AQ23" s="1" t="n">
        <v>1</v>
      </c>
      <c r="AR23" s="1" t="s">
        <v>214</v>
      </c>
      <c r="AS23" s="1" t="s">
        <v>68</v>
      </c>
      <c r="AT23" s="1" t="s">
        <v>69</v>
      </c>
      <c r="AU23" s="1" t="s">
        <v>210</v>
      </c>
      <c r="AV23" s="1" t="s">
        <v>211</v>
      </c>
      <c r="AX23" s="1" t="s">
        <v>131</v>
      </c>
      <c r="AY23" s="1" t="s">
        <v>80</v>
      </c>
      <c r="AZ23" s="1" t="s">
        <v>197</v>
      </c>
      <c r="BA23" s="1" t="str">
        <f aca="false">CONCATENATE(AX23, "_", AY23)</f>
        <v>wt_retina</v>
      </c>
      <c r="BB23" s="1" t="s">
        <v>70</v>
      </c>
      <c r="BC23" s="1" t="s">
        <v>71</v>
      </c>
      <c r="BD23" s="1" t="s">
        <v>80</v>
      </c>
    </row>
    <row r="24" customFormat="false" ht="15" hidden="false" customHeight="false" outlineLevel="0" collapsed="false">
      <c r="A24" s="1" t="s">
        <v>215</v>
      </c>
      <c r="B24" s="1" t="s">
        <v>131</v>
      </c>
      <c r="C24" s="1" t="s">
        <v>80</v>
      </c>
      <c r="D24" s="1" t="s">
        <v>197</v>
      </c>
      <c r="E24" s="1" t="s">
        <v>152</v>
      </c>
      <c r="F24" s="1" t="s">
        <v>82</v>
      </c>
      <c r="G24" s="1" t="s">
        <v>216</v>
      </c>
      <c r="H24" s="1" t="s">
        <v>217</v>
      </c>
      <c r="I24" s="1" t="n">
        <v>4</v>
      </c>
      <c r="J24" s="1" t="s">
        <v>63</v>
      </c>
      <c r="N24" s="3" t="s">
        <v>218</v>
      </c>
      <c r="O24" s="3" t="s">
        <v>219</v>
      </c>
      <c r="Q24" s="4" t="n">
        <v>15958920</v>
      </c>
      <c r="R24" s="4" t="n">
        <v>6090563</v>
      </c>
      <c r="S24" s="5" t="n">
        <f aca="false">R24/Q24</f>
        <v>0.381640048324072</v>
      </c>
      <c r="T24" s="6" t="n">
        <v>8659251</v>
      </c>
      <c r="U24" s="6" t="n">
        <v>140920</v>
      </c>
      <c r="V24" s="6" t="n">
        <v>1068186</v>
      </c>
      <c r="W24" s="7" t="n">
        <v>15508709</v>
      </c>
      <c r="X24" s="8" t="n">
        <f aca="false">W24/Q24</f>
        <v>0.971789381737611</v>
      </c>
      <c r="AA24" s="9" t="n">
        <v>9095113</v>
      </c>
      <c r="AB24" s="9" t="n">
        <v>2231760</v>
      </c>
      <c r="AC24" s="10" t="n">
        <f aca="false">(AA24+AB24)/Q24</f>
        <v>0.70975185037584</v>
      </c>
      <c r="AD24" s="11" t="n">
        <v>2753845</v>
      </c>
      <c r="AE24" s="12" t="n">
        <v>0.1867</v>
      </c>
      <c r="AF24" s="11" t="n">
        <v>249586</v>
      </c>
      <c r="AG24" s="12" t="n">
        <v>0.0169</v>
      </c>
      <c r="AH24" s="11" t="n">
        <v>11746383</v>
      </c>
      <c r="AI24" s="13" t="n">
        <v>0.7964</v>
      </c>
      <c r="AJ24" s="14" t="n">
        <v>3457750</v>
      </c>
      <c r="AK24" s="14" t="n">
        <v>987993</v>
      </c>
      <c r="AL24" s="15" t="n">
        <f aca="false">(AK24+AJ24)/W24</f>
        <v>0.286661062503655</v>
      </c>
      <c r="AM24" s="15" t="n">
        <f aca="false">(AK24+AJ24)/Q24</f>
        <v>0.278574176698674</v>
      </c>
      <c r="AP24" s="1" t="s">
        <v>66</v>
      </c>
      <c r="AQ24" s="1" t="n">
        <v>2</v>
      </c>
      <c r="AR24" s="1" t="s">
        <v>220</v>
      </c>
      <c r="AS24" s="1" t="s">
        <v>68</v>
      </c>
      <c r="AT24" s="1" t="s">
        <v>69</v>
      </c>
      <c r="AU24" s="1" t="s">
        <v>216</v>
      </c>
      <c r="AV24" s="1" t="s">
        <v>217</v>
      </c>
      <c r="AX24" s="1" t="s">
        <v>131</v>
      </c>
      <c r="AY24" s="1" t="s">
        <v>80</v>
      </c>
      <c r="AZ24" s="1" t="s">
        <v>197</v>
      </c>
      <c r="BA24" s="1" t="str">
        <f aca="false">CONCATENATE(AX24, "_", AY24)</f>
        <v>wt_retina</v>
      </c>
      <c r="BB24" s="1" t="s">
        <v>70</v>
      </c>
      <c r="BC24" s="1" t="s">
        <v>78</v>
      </c>
      <c r="BD24" s="1" t="s">
        <v>80</v>
      </c>
    </row>
    <row r="25" customFormat="false" ht="15" hidden="false" customHeight="false" outlineLevel="0" collapsed="false">
      <c r="N25" s="3"/>
      <c r="O25" s="3"/>
      <c r="Q25" s="4"/>
      <c r="R25" s="4"/>
      <c r="S25" s="5"/>
      <c r="T25" s="6"/>
      <c r="U25" s="6"/>
      <c r="V25" s="6"/>
      <c r="W25" s="7"/>
      <c r="X25" s="8"/>
      <c r="AA25" s="9"/>
      <c r="AB25" s="9"/>
      <c r="AC25" s="10"/>
      <c r="AD25" s="11"/>
      <c r="AE25" s="12"/>
      <c r="AF25" s="11"/>
      <c r="AG25" s="12"/>
      <c r="AH25" s="11"/>
      <c r="AI25" s="13"/>
      <c r="AJ25" s="14"/>
      <c r="AK25" s="14"/>
      <c r="AL25" s="15"/>
      <c r="AM25" s="15"/>
    </row>
    <row r="26" customFormat="false" ht="25.35" hidden="false" customHeight="false" outlineLevel="0" collapsed="false">
      <c r="A26" s="1" t="s">
        <v>221</v>
      </c>
      <c r="B26" s="1" t="s">
        <v>56</v>
      </c>
      <c r="C26" s="1" t="s">
        <v>57</v>
      </c>
      <c r="D26" s="1" t="s">
        <v>58</v>
      </c>
      <c r="E26" s="1" t="str">
        <f aca="false">B26&amp;"_"&amp;C26</f>
        <v>het_dlgn</v>
      </c>
      <c r="F26" s="1" t="s">
        <v>60</v>
      </c>
      <c r="G26" s="1" t="s">
        <v>222</v>
      </c>
      <c r="H26" s="1" t="s">
        <v>223</v>
      </c>
      <c r="I26" s="1" t="n">
        <v>5</v>
      </c>
      <c r="J26" s="1" t="s">
        <v>224</v>
      </c>
      <c r="N26" s="3" t="str">
        <f aca="false">"preprocessing/"&amp;A26&amp;"/outputs/40hisat2_mm38_100/mm38_100_genome-paired_sno_gene_gene_id.count.xz"</f>
        <v>preprocessing/iprgc_85/outputs/40hisat2_mm38_100/mm38_100_genome-paired_sno_gene_gene_id.count.xz</v>
      </c>
      <c r="O26" s="3" t="s">
        <v>225</v>
      </c>
      <c r="P26" s="3"/>
      <c r="AI26" s="1" t="s">
        <v>226</v>
      </c>
      <c r="AP26" s="1" t="s">
        <v>227</v>
      </c>
      <c r="AQ26" s="1" t="n">
        <v>15</v>
      </c>
      <c r="AR26" s="1" t="s">
        <v>228</v>
      </c>
      <c r="AS26" s="1" t="s">
        <v>68</v>
      </c>
      <c r="AT26" s="17" t="s">
        <v>229</v>
      </c>
      <c r="AU26" s="1" t="s">
        <v>230</v>
      </c>
      <c r="AV26" s="1" t="s">
        <v>231</v>
      </c>
      <c r="AW26" s="1" t="s">
        <v>232</v>
      </c>
      <c r="AX26" s="1" t="s">
        <v>109</v>
      </c>
      <c r="AY26" s="1" t="s">
        <v>95</v>
      </c>
      <c r="AZ26" s="1" t="s">
        <v>197</v>
      </c>
      <c r="BA26" s="1" t="str">
        <f aca="false">CONCATENATE(AX26, "_", AY26)</f>
        <v>ko_scn</v>
      </c>
      <c r="BB26" s="1" t="s">
        <v>70</v>
      </c>
      <c r="BC26" s="1" t="s">
        <v>71</v>
      </c>
      <c r="BD26" s="1" t="s">
        <v>95</v>
      </c>
    </row>
    <row r="27" customFormat="false" ht="25.35" hidden="false" customHeight="false" outlineLevel="0" collapsed="false">
      <c r="A27" s="1" t="s">
        <v>233</v>
      </c>
      <c r="B27" s="1" t="s">
        <v>109</v>
      </c>
      <c r="C27" s="1" t="s">
        <v>57</v>
      </c>
      <c r="D27" s="1" t="s">
        <v>58</v>
      </c>
      <c r="E27" s="1" t="str">
        <f aca="false">B27&amp;"_"&amp;C27</f>
        <v>ko_dlgn</v>
      </c>
      <c r="F27" s="1" t="s">
        <v>82</v>
      </c>
      <c r="G27" s="3" t="s">
        <v>234</v>
      </c>
      <c r="H27" s="3" t="s">
        <v>235</v>
      </c>
      <c r="I27" s="1" t="n">
        <v>5</v>
      </c>
      <c r="J27" s="1" t="s">
        <v>224</v>
      </c>
      <c r="N27" s="3" t="str">
        <f aca="false">"preprocessing/"&amp;A27&amp;"/outputs/40hisat2_mm38_100/mm38_100_genome-paired_sno_gene_gene_id.count.xz"</f>
        <v>preprocessing/iprgc_86/outputs/40hisat2_mm38_100/mm38_100_genome-paired_sno_gene_gene_id.count.xz</v>
      </c>
      <c r="O27" s="3" t="s">
        <v>236</v>
      </c>
      <c r="Q27" s="3"/>
      <c r="R27" s="3"/>
      <c r="S27" s="18"/>
      <c r="T27" s="3"/>
      <c r="U27" s="3"/>
      <c r="V27" s="3"/>
      <c r="W27" s="3"/>
      <c r="X27" s="3"/>
      <c r="Y27" s="18"/>
      <c r="Z27" s="18"/>
      <c r="AP27" s="1" t="s">
        <v>227</v>
      </c>
      <c r="AQ27" s="1" t="n">
        <v>13</v>
      </c>
      <c r="AR27" s="1" t="s">
        <v>237</v>
      </c>
      <c r="AS27" s="1" t="s">
        <v>68</v>
      </c>
      <c r="AT27" s="17" t="s">
        <v>229</v>
      </c>
      <c r="AU27" s="1" t="s">
        <v>238</v>
      </c>
      <c r="AV27" s="1" t="s">
        <v>239</v>
      </c>
      <c r="AW27" s="1" t="s">
        <v>232</v>
      </c>
      <c r="AX27" s="1" t="s">
        <v>109</v>
      </c>
      <c r="AY27" s="1" t="s">
        <v>80</v>
      </c>
      <c r="AZ27" s="1" t="s">
        <v>197</v>
      </c>
      <c r="BA27" s="1" t="str">
        <f aca="false">CONCATENATE(AX27, "_", AY27)</f>
        <v>ko_retina</v>
      </c>
      <c r="BB27" s="1" t="s">
        <v>70</v>
      </c>
      <c r="BC27" s="1" t="s">
        <v>71</v>
      </c>
      <c r="BD27" s="1" t="s">
        <v>80</v>
      </c>
    </row>
    <row r="28" customFormat="false" ht="25.35" hidden="false" customHeight="false" outlineLevel="0" collapsed="false">
      <c r="A28" s="1" t="s">
        <v>240</v>
      </c>
      <c r="B28" s="1" t="s">
        <v>56</v>
      </c>
      <c r="C28" s="1" t="s">
        <v>80</v>
      </c>
      <c r="D28" s="1" t="s">
        <v>58</v>
      </c>
      <c r="E28" s="1" t="str">
        <f aca="false">B28&amp;"_"&amp;C28</f>
        <v>het_retina</v>
      </c>
      <c r="F28" s="1" t="s">
        <v>60</v>
      </c>
      <c r="G28" s="3" t="s">
        <v>241</v>
      </c>
      <c r="H28" s="3" t="s">
        <v>242</v>
      </c>
      <c r="I28" s="1" t="n">
        <v>5</v>
      </c>
      <c r="J28" s="1" t="s">
        <v>224</v>
      </c>
      <c r="N28" s="3" t="str">
        <f aca="false">"preprocessing/"&amp;A28&amp;"/outputs/40hisat2_mm38_100/mm38_100_genome-paired_sno_gene_gene_id.count.xz"</f>
        <v>preprocessing/iprgc_87/outputs/40hisat2_mm38_100/mm38_100_genome-paired_sno_gene_gene_id.count.xz</v>
      </c>
      <c r="O28" s="3" t="s">
        <v>243</v>
      </c>
      <c r="Q28" s="3"/>
      <c r="R28" s="3"/>
      <c r="S28" s="18"/>
      <c r="T28" s="3"/>
      <c r="U28" s="3"/>
      <c r="V28" s="3"/>
      <c r="W28" s="3"/>
      <c r="X28" s="3"/>
      <c r="Y28" s="18"/>
      <c r="Z28" s="18"/>
      <c r="AP28" s="1" t="s">
        <v>227</v>
      </c>
      <c r="AQ28" s="1" t="n">
        <v>14</v>
      </c>
      <c r="AR28" s="1" t="s">
        <v>244</v>
      </c>
      <c r="AS28" s="1" t="s">
        <v>68</v>
      </c>
      <c r="AT28" s="17" t="s">
        <v>229</v>
      </c>
      <c r="AU28" s="1" t="s">
        <v>245</v>
      </c>
      <c r="AV28" s="1" t="s">
        <v>246</v>
      </c>
      <c r="AW28" s="1" t="s">
        <v>232</v>
      </c>
      <c r="AX28" s="1" t="s">
        <v>109</v>
      </c>
      <c r="AY28" s="1" t="s">
        <v>57</v>
      </c>
      <c r="AZ28" s="1" t="s">
        <v>197</v>
      </c>
      <c r="BA28" s="1" t="str">
        <f aca="false">CONCATENATE(AX28, "_", AY28)</f>
        <v>ko_dlgn</v>
      </c>
      <c r="BB28" s="1" t="s">
        <v>70</v>
      </c>
      <c r="BC28" s="1" t="s">
        <v>71</v>
      </c>
      <c r="BD28" s="1" t="s">
        <v>57</v>
      </c>
    </row>
    <row r="29" customFormat="false" ht="26.85" hidden="false" customHeight="false" outlineLevel="0" collapsed="false">
      <c r="A29" s="1" t="s">
        <v>247</v>
      </c>
      <c r="B29" s="1" t="s">
        <v>109</v>
      </c>
      <c r="C29" s="1" t="s">
        <v>57</v>
      </c>
      <c r="D29" s="1" t="s">
        <v>197</v>
      </c>
      <c r="E29" s="1" t="str">
        <f aca="false">B29&amp;"_"&amp;C29</f>
        <v>ko_dlgn</v>
      </c>
      <c r="F29" s="1" t="s">
        <v>60</v>
      </c>
      <c r="G29" s="3" t="s">
        <v>248</v>
      </c>
      <c r="H29" s="3" t="s">
        <v>249</v>
      </c>
      <c r="I29" s="1" t="n">
        <v>5</v>
      </c>
      <c r="J29" s="1" t="s">
        <v>224</v>
      </c>
      <c r="N29" s="3" t="str">
        <f aca="false">"preprocessing/"&amp;A29&amp;"/outputs/40hisat2_mm38_100/mm38_100_genome-paired_sno_gene_gene_id.count.xz"</f>
        <v>preprocessing/iprgc_88/outputs/40hisat2_mm38_100/mm38_100_genome-paired_sno_gene_gene_id.count.xz</v>
      </c>
      <c r="O29" s="3" t="s">
        <v>250</v>
      </c>
      <c r="Q29" s="3"/>
      <c r="R29" s="3"/>
      <c r="S29" s="18"/>
      <c r="T29" s="3"/>
      <c r="U29" s="3"/>
      <c r="V29" s="3"/>
      <c r="W29" s="3"/>
      <c r="X29" s="3"/>
      <c r="Y29" s="18"/>
      <c r="Z29" s="18"/>
      <c r="AP29" s="1" t="s">
        <v>227</v>
      </c>
      <c r="AQ29" s="1" t="n">
        <v>8</v>
      </c>
      <c r="AR29" s="1" t="s">
        <v>251</v>
      </c>
      <c r="AS29" s="1" t="s">
        <v>68</v>
      </c>
      <c r="AT29" s="19" t="s">
        <v>229</v>
      </c>
      <c r="AU29" s="1" t="s">
        <v>252</v>
      </c>
      <c r="AV29" s="1" t="s">
        <v>253</v>
      </c>
      <c r="AW29" s="1" t="s">
        <v>232</v>
      </c>
      <c r="AX29" s="1" t="s">
        <v>56</v>
      </c>
      <c r="AY29" s="1" t="s">
        <v>57</v>
      </c>
      <c r="AZ29" s="1" t="s">
        <v>197</v>
      </c>
      <c r="BA29" s="1" t="str">
        <f aca="false">CONCATENATE(AX29, "_", AY29)</f>
        <v>het_dlgn</v>
      </c>
      <c r="BB29" s="1" t="s">
        <v>70</v>
      </c>
      <c r="BC29" s="1" t="s">
        <v>71</v>
      </c>
      <c r="BD29" s="1" t="s">
        <v>57</v>
      </c>
    </row>
    <row r="30" customFormat="false" ht="26.85" hidden="false" customHeight="false" outlineLevel="0" collapsed="false">
      <c r="A30" s="1" t="s">
        <v>254</v>
      </c>
      <c r="B30" s="1" t="s">
        <v>109</v>
      </c>
      <c r="C30" s="1" t="s">
        <v>80</v>
      </c>
      <c r="D30" s="1" t="s">
        <v>58</v>
      </c>
      <c r="E30" s="1" t="str">
        <f aca="false">B30&amp;"_"&amp;C30</f>
        <v>ko_retina</v>
      </c>
      <c r="F30" s="1" t="s">
        <v>60</v>
      </c>
      <c r="G30" s="3" t="s">
        <v>255</v>
      </c>
      <c r="H30" s="3" t="s">
        <v>256</v>
      </c>
      <c r="I30" s="1" t="n">
        <v>5</v>
      </c>
      <c r="J30" s="1" t="s">
        <v>224</v>
      </c>
      <c r="N30" s="3" t="str">
        <f aca="false">"preprocessing/"&amp;A30&amp;"/outputs/40hisat2_mm38_100/mm38_100_genome-paired_sno_gene_gene_id.count.xz"</f>
        <v>preprocessing/iprgc_89/outputs/40hisat2_mm38_100/mm38_100_genome-paired_sno_gene_gene_id.count.xz</v>
      </c>
      <c r="O30" s="3" t="s">
        <v>257</v>
      </c>
      <c r="Q30" s="3"/>
      <c r="R30" s="3"/>
      <c r="S30" s="18"/>
      <c r="T30" s="3"/>
      <c r="U30" s="3"/>
      <c r="V30" s="3"/>
      <c r="W30" s="3"/>
      <c r="X30" s="3"/>
      <c r="Y30" s="18"/>
      <c r="Z30" s="18"/>
      <c r="AP30" s="1" t="s">
        <v>227</v>
      </c>
      <c r="AQ30" s="1" t="n">
        <v>9</v>
      </c>
      <c r="AR30" s="1" t="s">
        <v>258</v>
      </c>
      <c r="AS30" s="1" t="s">
        <v>68</v>
      </c>
      <c r="AT30" s="19" t="s">
        <v>229</v>
      </c>
      <c r="AU30" s="1" t="s">
        <v>259</v>
      </c>
      <c r="AV30" s="1" t="s">
        <v>260</v>
      </c>
      <c r="AW30" s="1" t="s">
        <v>232</v>
      </c>
      <c r="AX30" s="1" t="s">
        <v>56</v>
      </c>
      <c r="AY30" s="1" t="s">
        <v>95</v>
      </c>
      <c r="AZ30" s="1" t="s">
        <v>197</v>
      </c>
      <c r="BA30" s="1" t="str">
        <f aca="false">CONCATENATE(AX30, "_", AY30)</f>
        <v>het_scn</v>
      </c>
      <c r="BB30" s="1" t="s">
        <v>70</v>
      </c>
      <c r="BC30" s="1" t="s">
        <v>71</v>
      </c>
      <c r="BD30" s="1" t="s">
        <v>95</v>
      </c>
    </row>
    <row r="31" customFormat="false" ht="26.85" hidden="false" customHeight="false" outlineLevel="0" collapsed="false">
      <c r="A31" s="1" t="s">
        <v>261</v>
      </c>
      <c r="B31" s="1" t="s">
        <v>109</v>
      </c>
      <c r="C31" s="1" t="s">
        <v>80</v>
      </c>
      <c r="D31" s="1" t="s">
        <v>197</v>
      </c>
      <c r="E31" s="1" t="str">
        <f aca="false">B31&amp;"_"&amp;C31</f>
        <v>ko_retina</v>
      </c>
      <c r="F31" s="1" t="s">
        <v>82</v>
      </c>
      <c r="G31" s="3" t="s">
        <v>262</v>
      </c>
      <c r="H31" s="3" t="s">
        <v>263</v>
      </c>
      <c r="I31" s="1" t="n">
        <v>5</v>
      </c>
      <c r="J31" s="1" t="s">
        <v>224</v>
      </c>
      <c r="N31" s="3" t="str">
        <f aca="false">"preprocessing/"&amp;A31&amp;"/outputs/40hisat2_mm38_100/mm38_100_genome-paired_sno_gene_gene_id.count.xz"</f>
        <v>preprocessing/iprgc_90/outputs/40hisat2_mm38_100/mm38_100_genome-paired_sno_gene_gene_id.count.xz</v>
      </c>
      <c r="O31" s="3" t="s">
        <v>264</v>
      </c>
      <c r="Q31" s="3"/>
      <c r="R31" s="3"/>
      <c r="S31" s="18"/>
      <c r="T31" s="3"/>
      <c r="U31" s="3"/>
      <c r="V31" s="3"/>
      <c r="W31" s="3"/>
      <c r="X31" s="3"/>
      <c r="Y31" s="18"/>
      <c r="Z31" s="18"/>
      <c r="AP31" s="1" t="s">
        <v>227</v>
      </c>
      <c r="AQ31" s="1" t="n">
        <v>7</v>
      </c>
      <c r="AR31" s="1" t="s">
        <v>265</v>
      </c>
      <c r="AS31" s="1" t="s">
        <v>68</v>
      </c>
      <c r="AT31" s="19" t="s">
        <v>229</v>
      </c>
      <c r="AU31" s="1" t="s">
        <v>266</v>
      </c>
      <c r="AV31" s="1" t="s">
        <v>267</v>
      </c>
      <c r="AW31" s="1" t="s">
        <v>232</v>
      </c>
      <c r="AX31" s="1" t="s">
        <v>56</v>
      </c>
      <c r="AY31" s="1" t="s">
        <v>80</v>
      </c>
      <c r="AZ31" s="1" t="s">
        <v>197</v>
      </c>
      <c r="BA31" s="1" t="str">
        <f aca="false">CONCATENATE(AX31, "_", AY31)</f>
        <v>het_retina</v>
      </c>
      <c r="BB31" s="1" t="s">
        <v>70</v>
      </c>
      <c r="BC31" s="1" t="s">
        <v>71</v>
      </c>
      <c r="BD31" s="1" t="s">
        <v>80</v>
      </c>
    </row>
    <row r="32" customFormat="false" ht="26.85" hidden="false" customHeight="false" outlineLevel="0" collapsed="false">
      <c r="A32" s="1" t="s">
        <v>268</v>
      </c>
      <c r="B32" s="1" t="s">
        <v>131</v>
      </c>
      <c r="C32" s="1" t="s">
        <v>80</v>
      </c>
      <c r="D32" s="1" t="s">
        <v>197</v>
      </c>
      <c r="E32" s="1" t="str">
        <f aca="false">B32&amp;"_"&amp;C32</f>
        <v>wt_retina</v>
      </c>
      <c r="F32" s="1" t="s">
        <v>82</v>
      </c>
      <c r="G32" s="3" t="s">
        <v>211</v>
      </c>
      <c r="H32" s="3" t="s">
        <v>211</v>
      </c>
      <c r="I32" s="1" t="n">
        <v>5</v>
      </c>
      <c r="J32" s="1" t="s">
        <v>224</v>
      </c>
      <c r="N32" s="3" t="str">
        <f aca="false">"preprocessing/"&amp;A32&amp;"/outputs/40hisat2_mm38_100/mm38_100_genome-paired_sno_gene_gene_id.count.xz"</f>
        <v>preprocessing/iprgc_91/outputs/40hisat2_mm38_100/mm38_100_genome-paired_sno_gene_gene_id.count.xz</v>
      </c>
      <c r="O32" s="3" t="s">
        <v>269</v>
      </c>
      <c r="Q32" s="3"/>
      <c r="R32" s="3"/>
      <c r="S32" s="18"/>
      <c r="T32" s="3"/>
      <c r="U32" s="3"/>
      <c r="V32" s="3"/>
      <c r="W32" s="3"/>
      <c r="X32" s="3"/>
      <c r="Y32" s="18"/>
      <c r="Z32" s="18"/>
      <c r="AP32" s="1" t="s">
        <v>227</v>
      </c>
      <c r="AQ32" s="1" t="n">
        <v>1</v>
      </c>
      <c r="AR32" s="1" t="s">
        <v>214</v>
      </c>
      <c r="AS32" s="1" t="s">
        <v>68</v>
      </c>
      <c r="AT32" s="19" t="s">
        <v>229</v>
      </c>
      <c r="AU32" s="1" t="s">
        <v>270</v>
      </c>
      <c r="AV32" s="1" t="s">
        <v>271</v>
      </c>
      <c r="AW32" s="1" t="s">
        <v>232</v>
      </c>
      <c r="AX32" s="1" t="s">
        <v>131</v>
      </c>
      <c r="AY32" s="1" t="s">
        <v>80</v>
      </c>
      <c r="AZ32" s="1" t="s">
        <v>197</v>
      </c>
      <c r="BA32" s="1" t="str">
        <f aca="false">CONCATENATE(AX32, "_", AY32)</f>
        <v>wt_retina</v>
      </c>
      <c r="BB32" s="1" t="s">
        <v>70</v>
      </c>
      <c r="BC32" s="1" t="s">
        <v>71</v>
      </c>
      <c r="BD32" s="1" t="s">
        <v>80</v>
      </c>
    </row>
    <row r="33" customFormat="false" ht="26.85" hidden="false" customHeight="false" outlineLevel="0" collapsed="false">
      <c r="A33" s="1" t="s">
        <v>272</v>
      </c>
      <c r="B33" s="1" t="s">
        <v>131</v>
      </c>
      <c r="C33" s="1" t="s">
        <v>80</v>
      </c>
      <c r="D33" s="1" t="s">
        <v>58</v>
      </c>
      <c r="E33" s="1" t="str">
        <f aca="false">B33&amp;"_"&amp;C33</f>
        <v>wt_retina</v>
      </c>
      <c r="F33" s="1" t="s">
        <v>60</v>
      </c>
      <c r="G33" s="3" t="s">
        <v>273</v>
      </c>
      <c r="H33" s="3" t="s">
        <v>274</v>
      </c>
      <c r="I33" s="1" t="n">
        <v>5</v>
      </c>
      <c r="J33" s="1" t="s">
        <v>224</v>
      </c>
      <c r="N33" s="3" t="str">
        <f aca="false">"preprocessing/"&amp;A33&amp;"/outputs/40hisat2_mm38_100/mm38_100_genome-paired_sno_gene_gene_id.count.xz"</f>
        <v>preprocessing/iprgc_92/outputs/40hisat2_mm38_100/mm38_100_genome-paired_sno_gene_gene_id.count.xz</v>
      </c>
      <c r="O33" s="3" t="s">
        <v>275</v>
      </c>
      <c r="Q33" s="3"/>
      <c r="R33" s="3"/>
      <c r="S33" s="18"/>
      <c r="T33" s="3"/>
      <c r="U33" s="3"/>
      <c r="V33" s="3"/>
      <c r="W33" s="3"/>
      <c r="X33" s="3"/>
      <c r="Y33" s="18"/>
      <c r="Z33" s="18"/>
      <c r="AP33" s="1" t="s">
        <v>227</v>
      </c>
      <c r="AQ33" s="1" t="n">
        <v>2</v>
      </c>
      <c r="AR33" s="1" t="s">
        <v>202</v>
      </c>
      <c r="AS33" s="1" t="s">
        <v>68</v>
      </c>
      <c r="AT33" s="19" t="s">
        <v>229</v>
      </c>
      <c r="AU33" s="1" t="s">
        <v>276</v>
      </c>
      <c r="AV33" s="1" t="s">
        <v>277</v>
      </c>
      <c r="AW33" s="1" t="s">
        <v>232</v>
      </c>
      <c r="AX33" s="1" t="s">
        <v>131</v>
      </c>
      <c r="AY33" s="1" t="s">
        <v>57</v>
      </c>
      <c r="AZ33" s="1" t="s">
        <v>197</v>
      </c>
      <c r="BA33" s="1" t="str">
        <f aca="false">CONCATENATE(AX33, "_", AY33)</f>
        <v>wt_dlgn</v>
      </c>
      <c r="BB33" s="1" t="s">
        <v>70</v>
      </c>
      <c r="BC33" s="1" t="s">
        <v>71</v>
      </c>
      <c r="BD33" s="1" t="s">
        <v>57</v>
      </c>
    </row>
    <row r="34" customFormat="false" ht="26.85" hidden="false" customHeight="false" outlineLevel="0" collapsed="false">
      <c r="A34" s="1" t="s">
        <v>278</v>
      </c>
      <c r="B34" s="1" t="s">
        <v>131</v>
      </c>
      <c r="C34" s="1" t="s">
        <v>57</v>
      </c>
      <c r="D34" s="1" t="s">
        <v>58</v>
      </c>
      <c r="E34" s="1" t="str">
        <f aca="false">B34&amp;"_"&amp;C34</f>
        <v>wt_dlgn</v>
      </c>
      <c r="F34" s="1" t="s">
        <v>60</v>
      </c>
      <c r="G34" s="3" t="s">
        <v>279</v>
      </c>
      <c r="H34" s="3" t="s">
        <v>280</v>
      </c>
      <c r="I34" s="1" t="n">
        <v>5</v>
      </c>
      <c r="J34" s="1" t="s">
        <v>224</v>
      </c>
      <c r="N34" s="3" t="str">
        <f aca="false">"preprocessing/"&amp;A34&amp;"/outputs/40hisat2_mm38_100/mm38_100_genome-paired_sno_gene_gene_id.count.xz"</f>
        <v>preprocessing/iprgc_93/outputs/40hisat2_mm38_100/mm38_100_genome-paired_sno_gene_gene_id.count.xz</v>
      </c>
      <c r="O34" s="3" t="s">
        <v>281</v>
      </c>
      <c r="Q34" s="3"/>
      <c r="R34" s="3"/>
      <c r="S34" s="18"/>
      <c r="T34" s="3"/>
      <c r="U34" s="3"/>
      <c r="V34" s="3"/>
      <c r="W34" s="3"/>
      <c r="X34" s="3"/>
      <c r="Y34" s="18"/>
      <c r="Z34" s="18"/>
      <c r="AP34" s="1" t="s">
        <v>227</v>
      </c>
      <c r="AQ34" s="1" t="n">
        <v>3</v>
      </c>
      <c r="AR34" s="1" t="s">
        <v>282</v>
      </c>
      <c r="AS34" s="1" t="s">
        <v>68</v>
      </c>
      <c r="AT34" s="19" t="s">
        <v>229</v>
      </c>
      <c r="AU34" s="1" t="s">
        <v>283</v>
      </c>
      <c r="AV34" s="1" t="s">
        <v>284</v>
      </c>
      <c r="AW34" s="1" t="s">
        <v>232</v>
      </c>
      <c r="AX34" s="1" t="s">
        <v>131</v>
      </c>
      <c r="AY34" s="1" t="s">
        <v>95</v>
      </c>
      <c r="AZ34" s="1" t="s">
        <v>197</v>
      </c>
      <c r="BA34" s="1" t="str">
        <f aca="false">CONCATENATE(AX34, "_", AY34)</f>
        <v>wt_scn</v>
      </c>
      <c r="BB34" s="1" t="s">
        <v>70</v>
      </c>
      <c r="BC34" s="1" t="s">
        <v>71</v>
      </c>
      <c r="BD34" s="1" t="s">
        <v>95</v>
      </c>
    </row>
    <row r="35" customFormat="false" ht="25.35" hidden="false" customHeight="false" outlineLevel="0" collapsed="false">
      <c r="A35" s="1" t="s">
        <v>285</v>
      </c>
      <c r="B35" s="1" t="s">
        <v>109</v>
      </c>
      <c r="C35" s="1" t="s">
        <v>95</v>
      </c>
      <c r="D35" s="1" t="s">
        <v>58</v>
      </c>
      <c r="E35" s="1" t="str">
        <f aca="false">B35&amp;"_"&amp;C35</f>
        <v>ko_scn</v>
      </c>
      <c r="F35" s="1" t="s">
        <v>60</v>
      </c>
      <c r="G35" s="3" t="s">
        <v>286</v>
      </c>
      <c r="H35" s="3" t="s">
        <v>287</v>
      </c>
      <c r="I35" s="1" t="n">
        <v>5</v>
      </c>
      <c r="J35" s="1" t="s">
        <v>224</v>
      </c>
      <c r="N35" s="3" t="str">
        <f aca="false">"preprocessing/"&amp;A35&amp;"/outputs/40hisat2_mm38_100/mm38_100_genome-paired_sno_gene_gene_id.count.xz"</f>
        <v>preprocessing/iprgc_94/outputs/40hisat2_mm38_100/mm38_100_genome-paired_sno_gene_gene_id.count.xz</v>
      </c>
      <c r="O35" s="3" t="s">
        <v>288</v>
      </c>
      <c r="Q35" s="3"/>
      <c r="R35" s="3"/>
      <c r="S35" s="18"/>
      <c r="T35" s="3"/>
      <c r="U35" s="3"/>
      <c r="V35" s="3"/>
      <c r="W35" s="3"/>
      <c r="X35" s="3"/>
      <c r="Y35" s="18"/>
      <c r="Z35" s="18"/>
      <c r="AP35" s="1" t="s">
        <v>227</v>
      </c>
      <c r="AQ35" s="1" t="n">
        <v>20</v>
      </c>
      <c r="AR35" s="1" t="s">
        <v>289</v>
      </c>
      <c r="AS35" s="1" t="s">
        <v>68</v>
      </c>
      <c r="AT35" s="17" t="s">
        <v>229</v>
      </c>
      <c r="AU35" s="1" t="s">
        <v>290</v>
      </c>
      <c r="AV35" s="1" t="s">
        <v>291</v>
      </c>
      <c r="AW35" s="1" t="s">
        <v>232</v>
      </c>
      <c r="AX35" s="1" t="s">
        <v>56</v>
      </c>
      <c r="AY35" s="1" t="s">
        <v>57</v>
      </c>
      <c r="AZ35" s="1" t="s">
        <v>58</v>
      </c>
      <c r="BA35" s="1" t="str">
        <f aca="false">CONCATENATE(AX35, "_", AY35)</f>
        <v>het_dlgn</v>
      </c>
      <c r="BB35" s="1" t="s">
        <v>70</v>
      </c>
      <c r="BC35" s="1" t="s">
        <v>292</v>
      </c>
      <c r="BD35" s="1" t="s">
        <v>57</v>
      </c>
    </row>
    <row r="36" customFormat="false" ht="25.35" hidden="false" customHeight="false" outlineLevel="0" collapsed="false">
      <c r="A36" s="1" t="s">
        <v>293</v>
      </c>
      <c r="B36" s="1" t="s">
        <v>56</v>
      </c>
      <c r="C36" s="1" t="s">
        <v>95</v>
      </c>
      <c r="D36" s="1" t="s">
        <v>58</v>
      </c>
      <c r="E36" s="1" t="str">
        <f aca="false">B36&amp;"_"&amp;C36</f>
        <v>het_scn</v>
      </c>
      <c r="F36" s="1" t="s">
        <v>60</v>
      </c>
      <c r="G36" s="3" t="s">
        <v>294</v>
      </c>
      <c r="H36" s="3" t="s">
        <v>295</v>
      </c>
      <c r="I36" s="1" t="n">
        <v>5</v>
      </c>
      <c r="J36" s="1" t="s">
        <v>296</v>
      </c>
      <c r="N36" s="3" t="str">
        <f aca="false">"preprocessing/"&amp;A36&amp;"/outputs/40hisat2_mm38_100/mm38_100_genome-paired_sno_gene_gene_id.count.xz"</f>
        <v>preprocessing/iprgc_95/outputs/40hisat2_mm38_100/mm38_100_genome-paired_sno_gene_gene_id.count.xz</v>
      </c>
      <c r="O36" s="3" t="s">
        <v>297</v>
      </c>
      <c r="Q36" s="3"/>
      <c r="R36" s="3"/>
      <c r="S36" s="18"/>
      <c r="T36" s="3"/>
      <c r="U36" s="3"/>
      <c r="V36" s="3"/>
      <c r="W36" s="3"/>
      <c r="X36" s="3"/>
      <c r="Y36" s="18"/>
      <c r="Z36" s="18"/>
      <c r="AP36" s="1" t="s">
        <v>227</v>
      </c>
      <c r="AQ36" s="1" t="n">
        <v>21</v>
      </c>
      <c r="AR36" s="1" t="s">
        <v>298</v>
      </c>
      <c r="AS36" s="1" t="s">
        <v>68</v>
      </c>
      <c r="AT36" s="17" t="s">
        <v>229</v>
      </c>
      <c r="AU36" s="1" t="s">
        <v>299</v>
      </c>
      <c r="AV36" s="1" t="s">
        <v>300</v>
      </c>
      <c r="AW36" s="1" t="s">
        <v>232</v>
      </c>
      <c r="AX36" s="1" t="s">
        <v>56</v>
      </c>
      <c r="AY36" s="1" t="s">
        <v>95</v>
      </c>
      <c r="AZ36" s="1" t="s">
        <v>58</v>
      </c>
      <c r="BA36" s="1" t="str">
        <f aca="false">CONCATENATE(AX36, "_", AY36)</f>
        <v>het_scn</v>
      </c>
      <c r="BB36" s="1" t="s">
        <v>70</v>
      </c>
      <c r="BC36" s="1" t="s">
        <v>292</v>
      </c>
      <c r="BD36" s="1" t="s">
        <v>95</v>
      </c>
    </row>
    <row r="37" customFormat="false" ht="25.35" hidden="false" customHeight="false" outlineLevel="0" collapsed="false">
      <c r="A37" s="1" t="s">
        <v>301</v>
      </c>
      <c r="B37" s="1" t="s">
        <v>109</v>
      </c>
      <c r="C37" s="1" t="s">
        <v>95</v>
      </c>
      <c r="D37" s="1" t="s">
        <v>197</v>
      </c>
      <c r="E37" s="1" t="str">
        <f aca="false">B37&amp;"_"&amp;C37</f>
        <v>ko_scn</v>
      </c>
      <c r="F37" s="1" t="s">
        <v>82</v>
      </c>
      <c r="G37" s="3" t="s">
        <v>302</v>
      </c>
      <c r="H37" s="3" t="s">
        <v>303</v>
      </c>
      <c r="I37" s="1" t="n">
        <v>5</v>
      </c>
      <c r="J37" s="1" t="s">
        <v>304</v>
      </c>
      <c r="N37" s="3" t="str">
        <f aca="false">"preprocessing/"&amp;A37&amp;"/outputs/40hisat2_mm38_100/mm38_100_genome-paired_sno_gene_gene_id.count.xz"</f>
        <v>preprocessing/iprgc_96/outputs/40hisat2_mm38_100/mm38_100_genome-paired_sno_gene_gene_id.count.xz</v>
      </c>
      <c r="O37" s="3" t="s">
        <v>305</v>
      </c>
      <c r="Q37" s="3"/>
      <c r="R37" s="3"/>
      <c r="S37" s="18"/>
      <c r="T37" s="3"/>
      <c r="U37" s="3"/>
      <c r="V37" s="3"/>
      <c r="W37" s="3"/>
      <c r="X37" s="3"/>
      <c r="Y37" s="18"/>
      <c r="Z37" s="18"/>
      <c r="AP37" s="1" t="s">
        <v>227</v>
      </c>
      <c r="AQ37" s="1" t="n">
        <v>19</v>
      </c>
      <c r="AR37" s="1" t="s">
        <v>306</v>
      </c>
      <c r="AS37" s="1" t="s">
        <v>68</v>
      </c>
      <c r="AT37" s="17" t="s">
        <v>229</v>
      </c>
      <c r="AU37" s="1" t="s">
        <v>307</v>
      </c>
      <c r="AV37" s="1" t="s">
        <v>308</v>
      </c>
      <c r="AW37" s="1" t="s">
        <v>232</v>
      </c>
      <c r="AX37" s="1" t="s">
        <v>56</v>
      </c>
      <c r="AY37" s="1" t="s">
        <v>80</v>
      </c>
      <c r="AZ37" s="1" t="s">
        <v>58</v>
      </c>
      <c r="BA37" s="1" t="str">
        <f aca="false">CONCATENATE(AX37, "_", AY37)</f>
        <v>het_retina</v>
      </c>
      <c r="BB37" s="1" t="s">
        <v>70</v>
      </c>
      <c r="BC37" s="1" t="s">
        <v>292</v>
      </c>
      <c r="BD37" s="1" t="s">
        <v>80</v>
      </c>
    </row>
    <row r="38" customFormat="false" ht="26.85" hidden="false" customHeight="false" outlineLevel="0" collapsed="false">
      <c r="A38" s="1" t="s">
        <v>309</v>
      </c>
      <c r="B38" s="1" t="s">
        <v>56</v>
      </c>
      <c r="C38" s="1" t="s">
        <v>95</v>
      </c>
      <c r="D38" s="1" t="s">
        <v>197</v>
      </c>
      <c r="E38" s="1" t="str">
        <f aca="false">B38&amp;"_"&amp;C38</f>
        <v>het_scn</v>
      </c>
      <c r="F38" s="1" t="s">
        <v>60</v>
      </c>
      <c r="G38" s="3" t="s">
        <v>310</v>
      </c>
      <c r="H38" s="3" t="s">
        <v>311</v>
      </c>
      <c r="I38" s="1" t="n">
        <v>5</v>
      </c>
      <c r="J38" s="1" t="s">
        <v>312</v>
      </c>
      <c r="N38" s="3" t="str">
        <f aca="false">"preprocessing/"&amp;A38&amp;"/outputs/40hisat2_mm38_100/mm38_100_genome-paired_sno_gene_gene_id.count.xz"</f>
        <v>preprocessing/iprgc_97/outputs/40hisat2_mm38_100/mm38_100_genome-paired_sno_gene_gene_id.count.xz</v>
      </c>
      <c r="O38" s="3" t="s">
        <v>313</v>
      </c>
      <c r="Q38" s="3"/>
      <c r="R38" s="3"/>
      <c r="S38" s="18"/>
      <c r="T38" s="3"/>
      <c r="U38" s="3"/>
      <c r="V38" s="3"/>
      <c r="W38" s="3"/>
      <c r="X38" s="3"/>
      <c r="Y38" s="18"/>
      <c r="Z38" s="18"/>
      <c r="AP38" s="1" t="s">
        <v>227</v>
      </c>
      <c r="AQ38" s="1" t="n">
        <v>6</v>
      </c>
      <c r="AR38" s="1" t="s">
        <v>314</v>
      </c>
      <c r="AS38" s="1" t="s">
        <v>68</v>
      </c>
      <c r="AT38" s="19" t="s">
        <v>229</v>
      </c>
      <c r="AU38" s="1" t="s">
        <v>315</v>
      </c>
      <c r="AV38" s="1" t="s">
        <v>316</v>
      </c>
      <c r="AW38" s="1" t="s">
        <v>232</v>
      </c>
      <c r="AX38" s="1" t="s">
        <v>131</v>
      </c>
      <c r="AY38" s="1" t="s">
        <v>95</v>
      </c>
      <c r="AZ38" s="1" t="s">
        <v>58</v>
      </c>
      <c r="BA38" s="1" t="str">
        <f aca="false">CONCATENATE(AX38, "_", AY38)</f>
        <v>wt_scn</v>
      </c>
      <c r="BB38" s="1" t="s">
        <v>70</v>
      </c>
      <c r="BC38" s="1" t="s">
        <v>71</v>
      </c>
      <c r="BD38" s="1" t="s">
        <v>95</v>
      </c>
    </row>
    <row r="39" customFormat="false" ht="26.85" hidden="false" customHeight="false" outlineLevel="0" collapsed="false">
      <c r="A39" s="1" t="s">
        <v>317</v>
      </c>
      <c r="B39" s="1" t="s">
        <v>56</v>
      </c>
      <c r="C39" s="1" t="s">
        <v>57</v>
      </c>
      <c r="D39" s="1" t="s">
        <v>197</v>
      </c>
      <c r="E39" s="1" t="str">
        <f aca="false">B39&amp;"_"&amp;C39</f>
        <v>het_dlgn</v>
      </c>
      <c r="F39" s="1" t="s">
        <v>60</v>
      </c>
      <c r="G39" s="3" t="s">
        <v>318</v>
      </c>
      <c r="H39" s="3" t="s">
        <v>319</v>
      </c>
      <c r="I39" s="1" t="n">
        <v>5</v>
      </c>
      <c r="J39" s="1" t="s">
        <v>320</v>
      </c>
      <c r="N39" s="3" t="str">
        <f aca="false">"preprocessing/"&amp;A39&amp;"/outputs/40hisat2_mm38_100/mm38_100_genome-paired_sno_gene_gene_id.count.xz"</f>
        <v>preprocessing/iprgc_98/outputs/40hisat2_mm38_100/mm38_100_genome-paired_sno_gene_gene_id.count.xz</v>
      </c>
      <c r="O39" s="3" t="s">
        <v>321</v>
      </c>
      <c r="Q39" s="3"/>
      <c r="R39" s="3"/>
      <c r="S39" s="18"/>
      <c r="T39" s="3"/>
      <c r="U39" s="3"/>
      <c r="V39" s="3"/>
      <c r="W39" s="3"/>
      <c r="X39" s="3"/>
      <c r="Y39" s="18"/>
      <c r="Z39" s="18"/>
      <c r="AP39" s="1" t="s">
        <v>227</v>
      </c>
      <c r="AQ39" s="1" t="n">
        <v>5</v>
      </c>
      <c r="AR39" s="1" t="s">
        <v>137</v>
      </c>
      <c r="AS39" s="1" t="s">
        <v>68</v>
      </c>
      <c r="AT39" s="19" t="s">
        <v>229</v>
      </c>
      <c r="AU39" s="1" t="s">
        <v>322</v>
      </c>
      <c r="AV39" s="1" t="s">
        <v>323</v>
      </c>
      <c r="AW39" s="1" t="s">
        <v>232</v>
      </c>
      <c r="AX39" s="1" t="s">
        <v>131</v>
      </c>
      <c r="AY39" s="1" t="s">
        <v>57</v>
      </c>
      <c r="AZ39" s="1" t="s">
        <v>58</v>
      </c>
      <c r="BA39" s="1" t="str">
        <f aca="false">CONCATENATE(AX39, "_", AY39)</f>
        <v>wt_dlgn</v>
      </c>
      <c r="BB39" s="1" t="s">
        <v>70</v>
      </c>
      <c r="BC39" s="1" t="s">
        <v>71</v>
      </c>
      <c r="BD39" s="1" t="s">
        <v>57</v>
      </c>
    </row>
    <row r="40" customFormat="false" ht="26.85" hidden="false" customHeight="false" outlineLevel="0" collapsed="false">
      <c r="A40" s="1" t="s">
        <v>324</v>
      </c>
      <c r="B40" s="1" t="s">
        <v>56</v>
      </c>
      <c r="C40" s="1" t="s">
        <v>80</v>
      </c>
      <c r="D40" s="1" t="s">
        <v>197</v>
      </c>
      <c r="E40" s="1" t="str">
        <f aca="false">B40&amp;"_"&amp;C40</f>
        <v>het_retina</v>
      </c>
      <c r="F40" s="1" t="s">
        <v>82</v>
      </c>
      <c r="G40" s="3" t="s">
        <v>325</v>
      </c>
      <c r="H40" s="3" t="s">
        <v>326</v>
      </c>
      <c r="I40" s="1" t="n">
        <v>5</v>
      </c>
      <c r="J40" s="1" t="s">
        <v>327</v>
      </c>
      <c r="N40" s="3" t="str">
        <f aca="false">"preprocessing/"&amp;A40&amp;"/outputs/40hisat2_mm38_100/mm38_100_genome-paired_sno_gene_gene_id.count.xz"</f>
        <v>preprocessing/iprgc_99/outputs/40hisat2_mm38_100/mm38_100_genome-paired_sno_gene_gene_id.count.xz</v>
      </c>
      <c r="O40" s="3" t="s">
        <v>328</v>
      </c>
      <c r="Q40" s="3"/>
      <c r="R40" s="3"/>
      <c r="S40" s="18"/>
      <c r="T40" s="3"/>
      <c r="U40" s="3"/>
      <c r="V40" s="3"/>
      <c r="W40" s="3"/>
      <c r="X40" s="3"/>
      <c r="Y40" s="18"/>
      <c r="Z40" s="18"/>
      <c r="AP40" s="1" t="s">
        <v>227</v>
      </c>
      <c r="AQ40" s="1" t="n">
        <v>4</v>
      </c>
      <c r="AR40" s="1" t="s">
        <v>157</v>
      </c>
      <c r="AS40" s="1" t="s">
        <v>68</v>
      </c>
      <c r="AT40" s="19" t="s">
        <v>229</v>
      </c>
      <c r="AU40" s="1" t="s">
        <v>329</v>
      </c>
      <c r="AV40" s="1" t="s">
        <v>330</v>
      </c>
      <c r="AW40" s="1" t="s">
        <v>232</v>
      </c>
      <c r="AX40" s="1" t="s">
        <v>131</v>
      </c>
      <c r="AY40" s="1" t="s">
        <v>80</v>
      </c>
      <c r="AZ40" s="1" t="s">
        <v>58</v>
      </c>
      <c r="BA40" s="1" t="str">
        <f aca="false">CONCATENATE(AX40, "_", AY40)</f>
        <v>wt_retina</v>
      </c>
      <c r="BB40" s="1" t="s">
        <v>70</v>
      </c>
      <c r="BC40" s="1" t="s">
        <v>71</v>
      </c>
      <c r="BD40" s="1" t="s">
        <v>80</v>
      </c>
    </row>
    <row r="41" customFormat="false" ht="25.35" hidden="false" customHeight="false" outlineLevel="0" collapsed="false">
      <c r="A41" s="1" t="s">
        <v>331</v>
      </c>
      <c r="B41" s="1" t="s">
        <v>131</v>
      </c>
      <c r="C41" s="1" t="s">
        <v>95</v>
      </c>
      <c r="D41" s="1" t="s">
        <v>197</v>
      </c>
      <c r="E41" s="1" t="str">
        <f aca="false">B41&amp;"_"&amp;C41</f>
        <v>wt_scn</v>
      </c>
      <c r="F41" s="1" t="s">
        <v>60</v>
      </c>
      <c r="G41" s="3" t="s">
        <v>332</v>
      </c>
      <c r="H41" s="3" t="s">
        <v>333</v>
      </c>
      <c r="I41" s="1" t="n">
        <v>5</v>
      </c>
      <c r="J41" s="1" t="s">
        <v>334</v>
      </c>
      <c r="N41" s="3" t="str">
        <f aca="false">"preprocessing/"&amp;A41&amp;"/outputs/40hisat2_mm38_100/mm38_100_genome-paired_sno_gene_gene_id.count.xz"</f>
        <v>preprocessing/iprgc_100/outputs/40hisat2_mm38_100/mm38_100_genome-paired_sno_gene_gene_id.count.xz</v>
      </c>
      <c r="O41" s="3" t="s">
        <v>335</v>
      </c>
      <c r="Q41" s="3"/>
      <c r="R41" s="3"/>
      <c r="S41" s="18"/>
      <c r="T41" s="3"/>
      <c r="U41" s="3"/>
      <c r="V41" s="3"/>
      <c r="W41" s="3"/>
      <c r="X41" s="3"/>
      <c r="Y41" s="18"/>
      <c r="Z41" s="18"/>
      <c r="AP41" s="1" t="s">
        <v>227</v>
      </c>
      <c r="AQ41" s="1" t="n">
        <v>17</v>
      </c>
      <c r="AR41" s="1" t="s">
        <v>115</v>
      </c>
      <c r="AS41" s="1" t="s">
        <v>68</v>
      </c>
      <c r="AT41" s="17" t="s">
        <v>229</v>
      </c>
      <c r="AU41" s="1" t="s">
        <v>336</v>
      </c>
      <c r="AV41" s="1" t="s">
        <v>337</v>
      </c>
      <c r="AW41" s="1" t="s">
        <v>232</v>
      </c>
      <c r="AX41" s="1" t="s">
        <v>109</v>
      </c>
      <c r="AY41" s="1" t="s">
        <v>57</v>
      </c>
      <c r="AZ41" s="1" t="s">
        <v>58</v>
      </c>
      <c r="BA41" s="1" t="str">
        <f aca="false">CONCATENATE(AX41, "_", AY41)</f>
        <v>ko_dlgn</v>
      </c>
      <c r="BB41" s="1" t="s">
        <v>70</v>
      </c>
      <c r="BC41" s="1" t="s">
        <v>71</v>
      </c>
      <c r="BD41" s="1" t="s">
        <v>57</v>
      </c>
    </row>
    <row r="42" customFormat="false" ht="25.35" hidden="false" customHeight="false" outlineLevel="0" collapsed="false">
      <c r="A42" s="1" t="s">
        <v>338</v>
      </c>
      <c r="B42" s="1" t="s">
        <v>131</v>
      </c>
      <c r="C42" s="1" t="s">
        <v>57</v>
      </c>
      <c r="D42" s="1" t="s">
        <v>197</v>
      </c>
      <c r="E42" s="1" t="str">
        <f aca="false">B42&amp;"_"&amp;C42</f>
        <v>wt_dlgn</v>
      </c>
      <c r="F42" s="1" t="s">
        <v>82</v>
      </c>
      <c r="G42" s="3" t="s">
        <v>339</v>
      </c>
      <c r="H42" s="3" t="s">
        <v>340</v>
      </c>
      <c r="I42" s="1" t="n">
        <v>5</v>
      </c>
      <c r="J42" s="1" t="s">
        <v>341</v>
      </c>
      <c r="N42" s="3" t="str">
        <f aca="false">"preprocessing/"&amp;A42&amp;"/outputs/40hisat2_mm38_100/mm38_100_genome-paired_sno_gene_gene_id.count.xz"</f>
        <v>preprocessing/iprgc_101/outputs/40hisat2_mm38_100/mm38_100_genome-paired_sno_gene_gene_id.count.xz</v>
      </c>
      <c r="O42" s="3" t="s">
        <v>342</v>
      </c>
      <c r="Q42" s="3"/>
      <c r="R42" s="3"/>
      <c r="S42" s="18"/>
      <c r="T42" s="3"/>
      <c r="U42" s="3"/>
      <c r="V42" s="3"/>
      <c r="W42" s="3"/>
      <c r="X42" s="3"/>
      <c r="Y42" s="18"/>
      <c r="Z42" s="18"/>
      <c r="AP42" s="1" t="s">
        <v>227</v>
      </c>
      <c r="AQ42" s="1" t="n">
        <v>16</v>
      </c>
      <c r="AR42" s="1" t="s">
        <v>122</v>
      </c>
      <c r="AS42" s="1" t="s">
        <v>68</v>
      </c>
      <c r="AT42" s="17" t="s">
        <v>229</v>
      </c>
      <c r="AU42" s="1" t="s">
        <v>343</v>
      </c>
      <c r="AV42" s="1" t="s">
        <v>344</v>
      </c>
      <c r="AW42" s="1" t="s">
        <v>232</v>
      </c>
      <c r="AX42" s="1" t="s">
        <v>109</v>
      </c>
      <c r="AY42" s="1" t="s">
        <v>80</v>
      </c>
      <c r="AZ42" s="1" t="s">
        <v>58</v>
      </c>
      <c r="BA42" s="1" t="str">
        <f aca="false">CONCATENATE(AX42, "_", AY42)</f>
        <v>ko_retina</v>
      </c>
      <c r="BB42" s="1" t="s">
        <v>70</v>
      </c>
      <c r="BC42" s="1" t="s">
        <v>71</v>
      </c>
      <c r="BD42" s="1" t="s">
        <v>80</v>
      </c>
    </row>
    <row r="43" customFormat="false" ht="25.35" hidden="false" customHeight="false" outlineLevel="0" collapsed="false">
      <c r="A43" s="1" t="s">
        <v>345</v>
      </c>
      <c r="B43" s="1" t="s">
        <v>131</v>
      </c>
      <c r="C43" s="1" t="s">
        <v>95</v>
      </c>
      <c r="D43" s="1" t="s">
        <v>58</v>
      </c>
      <c r="E43" s="1" t="str">
        <f aca="false">B43&amp;"_"&amp;C43</f>
        <v>wt_scn</v>
      </c>
      <c r="F43" s="1" t="s">
        <v>60</v>
      </c>
      <c r="G43" s="3" t="s">
        <v>346</v>
      </c>
      <c r="H43" s="3" t="s">
        <v>347</v>
      </c>
      <c r="I43" s="1" t="n">
        <v>5</v>
      </c>
      <c r="J43" s="1" t="s">
        <v>348</v>
      </c>
      <c r="N43" s="3" t="str">
        <f aca="false">"preprocessing/"&amp;A43&amp;"/outputs/40hisat2_mm38_100/mm38_100_genome-paired_sno_gene_gene_id.count.xz"</f>
        <v>preprocessing/iprgc_102/outputs/40hisat2_mm38_100/mm38_100_genome-paired_sno_gene_gene_id.count.xz</v>
      </c>
      <c r="O43" s="3" t="s">
        <v>349</v>
      </c>
      <c r="Q43" s="3"/>
      <c r="R43" s="3"/>
      <c r="S43" s="18"/>
      <c r="T43" s="3"/>
      <c r="U43" s="3"/>
      <c r="V43" s="3"/>
      <c r="W43" s="3"/>
      <c r="X43" s="3"/>
      <c r="Y43" s="18"/>
      <c r="Z43" s="18"/>
      <c r="AP43" s="1" t="s">
        <v>227</v>
      </c>
      <c r="AQ43" s="1" t="n">
        <v>18</v>
      </c>
      <c r="AR43" s="1" t="s">
        <v>129</v>
      </c>
      <c r="AS43" s="1" t="s">
        <v>68</v>
      </c>
      <c r="AT43" s="17" t="s">
        <v>229</v>
      </c>
      <c r="AU43" s="1" t="s">
        <v>350</v>
      </c>
      <c r="AV43" s="1" t="s">
        <v>351</v>
      </c>
      <c r="AW43" s="1" t="s">
        <v>232</v>
      </c>
      <c r="AX43" s="1" t="s">
        <v>109</v>
      </c>
      <c r="AY43" s="1" t="s">
        <v>95</v>
      </c>
      <c r="AZ43" s="1" t="s">
        <v>58</v>
      </c>
      <c r="BA43" s="1" t="str">
        <f aca="false">CONCATENATE(AX43, "_", AY43)</f>
        <v>ko_scn</v>
      </c>
      <c r="BB43" s="1" t="s">
        <v>70</v>
      </c>
      <c r="BC43" s="1" t="s">
        <v>71</v>
      </c>
      <c r="BD43" s="1" t="s">
        <v>95</v>
      </c>
    </row>
    <row r="44" customFormat="false" ht="15" hidden="false" customHeight="false" outlineLevel="0" collapsed="false">
      <c r="D44" s="20"/>
      <c r="E44" s="20"/>
      <c r="G44" s="20"/>
      <c r="H44" s="3"/>
      <c r="N44" s="3"/>
      <c r="O44" s="3"/>
      <c r="Q44" s="3"/>
      <c r="R44" s="3"/>
      <c r="S44" s="18"/>
      <c r="T44" s="3"/>
      <c r="U44" s="3"/>
      <c r="V44" s="3"/>
      <c r="W44" s="3"/>
      <c r="X44" s="3"/>
      <c r="Y44" s="18"/>
      <c r="Z44" s="18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</row>
    <row r="45" customFormat="false" ht="15" hidden="false" customHeight="false" outlineLevel="0" collapsed="false">
      <c r="A45" s="1" t="s">
        <v>352</v>
      </c>
      <c r="B45" s="1" t="s">
        <v>131</v>
      </c>
      <c r="C45" s="1" t="s">
        <v>57</v>
      </c>
      <c r="D45" s="1" t="s">
        <v>197</v>
      </c>
      <c r="E45" s="1" t="s">
        <v>132</v>
      </c>
      <c r="F45" s="1" t="s">
        <v>60</v>
      </c>
      <c r="G45" s="1" t="s">
        <v>353</v>
      </c>
      <c r="H45" s="1" t="s">
        <v>354</v>
      </c>
      <c r="I45" s="1" t="n">
        <v>6</v>
      </c>
      <c r="J45" s="1" t="s">
        <v>355</v>
      </c>
      <c r="N45" s="3" t="str">
        <f aca="false">"preprocessing/"&amp;A45&amp;"/outputs/40hisat2_mm38_100/mm38_100_genome-paired_sno_gene_gene_id.count.xz"</f>
        <v>preprocessing/iprgc_103/outputs/40hisat2_mm38_100/mm38_100_genome-paired_sno_gene_gene_id.count.xz</v>
      </c>
      <c r="O45" s="3" t="s">
        <v>356</v>
      </c>
      <c r="AX45" s="1" t="s">
        <v>131</v>
      </c>
      <c r="AY45" s="1" t="s">
        <v>57</v>
      </c>
      <c r="AZ45" s="1" t="s">
        <v>197</v>
      </c>
      <c r="BA45" s="1" t="s">
        <v>132</v>
      </c>
      <c r="BB45" s="1" t="s">
        <v>357</v>
      </c>
      <c r="BD45" s="1" t="s">
        <v>57</v>
      </c>
    </row>
    <row r="46" customFormat="false" ht="15" hidden="false" customHeight="false" outlineLevel="0" collapsed="false">
      <c r="A46" s="1" t="s">
        <v>358</v>
      </c>
      <c r="B46" s="1" t="s">
        <v>56</v>
      </c>
      <c r="C46" s="1" t="s">
        <v>57</v>
      </c>
      <c r="D46" s="1" t="s">
        <v>197</v>
      </c>
      <c r="E46" s="1" t="str">
        <f aca="false">B46&amp;"_"&amp;C46</f>
        <v>het_dlgn</v>
      </c>
      <c r="F46" s="1" t="s">
        <v>60</v>
      </c>
      <c r="G46" s="1" t="s">
        <v>359</v>
      </c>
      <c r="H46" s="1" t="s">
        <v>360</v>
      </c>
      <c r="I46" s="1" t="n">
        <v>6</v>
      </c>
      <c r="J46" s="1" t="s">
        <v>355</v>
      </c>
      <c r="N46" s="3" t="str">
        <f aca="false">"preprocessing/"&amp;A46&amp;"/outputs/40hisat2_mm38_100/mm38_100_genome-paired_sno_gene_gene_id.count.xz"</f>
        <v>preprocessing/iprgc_104/outputs/40hisat2_mm38_100/mm38_100_genome-paired_sno_gene_gene_id.count.xz</v>
      </c>
      <c r="O46" s="3" t="s">
        <v>361</v>
      </c>
      <c r="AP46" s="1" t="s">
        <v>362</v>
      </c>
      <c r="AQ46" s="1" t="s">
        <v>363</v>
      </c>
      <c r="AR46" s="1" t="s">
        <v>364</v>
      </c>
      <c r="AS46" s="1" t="s">
        <v>68</v>
      </c>
      <c r="AT46" s="21" t="s">
        <v>365</v>
      </c>
      <c r="AU46" s="1" t="s">
        <v>359</v>
      </c>
      <c r="AV46" s="1" t="s">
        <v>360</v>
      </c>
      <c r="AX46" s="1" t="s">
        <v>56</v>
      </c>
      <c r="AY46" s="1" t="s">
        <v>57</v>
      </c>
      <c r="AZ46" s="1" t="s">
        <v>197</v>
      </c>
      <c r="BA46" s="1" t="str">
        <f aca="false">CONCATENATE(AX46, "_", AY46)</f>
        <v>het_dlgn</v>
      </c>
      <c r="BB46" s="1" t="s">
        <v>70</v>
      </c>
      <c r="BC46" s="1" t="s">
        <v>366</v>
      </c>
      <c r="BD46" s="1" t="s">
        <v>57</v>
      </c>
    </row>
    <row r="47" customFormat="false" ht="15" hidden="false" customHeight="false" outlineLevel="0" collapsed="false">
      <c r="A47" s="1" t="s">
        <v>367</v>
      </c>
      <c r="B47" s="1" t="s">
        <v>56</v>
      </c>
      <c r="C47" s="1" t="s">
        <v>57</v>
      </c>
      <c r="D47" s="1" t="s">
        <v>197</v>
      </c>
      <c r="E47" s="1" t="str">
        <f aca="false">B47&amp;"_"&amp;C47</f>
        <v>het_dlgn</v>
      </c>
      <c r="F47" s="1" t="s">
        <v>60</v>
      </c>
      <c r="G47" s="1" t="s">
        <v>368</v>
      </c>
      <c r="H47" s="1" t="s">
        <v>369</v>
      </c>
      <c r="I47" s="1" t="n">
        <v>6</v>
      </c>
      <c r="J47" s="1" t="s">
        <v>355</v>
      </c>
      <c r="N47" s="3" t="str">
        <f aca="false">"preprocessing/"&amp;A47&amp;"/outputs/40hisat2_mm38_100/mm38_100_genome-paired_sno_gene_gene_id.count.xz"</f>
        <v>preprocessing/iprgc_105/outputs/40hisat2_mm38_100/mm38_100_genome-paired_sno_gene_gene_id.count.xz</v>
      </c>
      <c r="O47" s="3" t="s">
        <v>370</v>
      </c>
      <c r="AP47" s="1" t="s">
        <v>362</v>
      </c>
      <c r="AQ47" s="1" t="s">
        <v>371</v>
      </c>
      <c r="AR47" s="1" t="s">
        <v>372</v>
      </c>
      <c r="AS47" s="1" t="s">
        <v>68</v>
      </c>
      <c r="AT47" s="21" t="s">
        <v>365</v>
      </c>
      <c r="AU47" s="1" t="s">
        <v>368</v>
      </c>
      <c r="AV47" s="1" t="s">
        <v>369</v>
      </c>
      <c r="AX47" s="1" t="s">
        <v>56</v>
      </c>
      <c r="AY47" s="1" t="s">
        <v>57</v>
      </c>
      <c r="AZ47" s="1" t="s">
        <v>197</v>
      </c>
      <c r="BA47" s="1" t="str">
        <f aca="false">CONCATENATE(AX47, "_", AY47)</f>
        <v>het_dlgn</v>
      </c>
      <c r="BB47" s="1" t="s">
        <v>70</v>
      </c>
      <c r="BC47" s="1" t="s">
        <v>373</v>
      </c>
      <c r="BD47" s="1" t="s">
        <v>57</v>
      </c>
    </row>
    <row r="48" customFormat="false" ht="15" hidden="false" customHeight="false" outlineLevel="0" collapsed="false">
      <c r="A48" s="1" t="s">
        <v>374</v>
      </c>
      <c r="B48" s="1" t="s">
        <v>56</v>
      </c>
      <c r="C48" s="1" t="s">
        <v>57</v>
      </c>
      <c r="D48" s="1" t="s">
        <v>58</v>
      </c>
      <c r="E48" s="1" t="str">
        <f aca="false">B48&amp;"_"&amp;C48</f>
        <v>het_dlgn</v>
      </c>
      <c r="F48" s="1" t="s">
        <v>60</v>
      </c>
      <c r="G48" s="1" t="s">
        <v>375</v>
      </c>
      <c r="H48" s="1" t="s">
        <v>376</v>
      </c>
      <c r="I48" s="1" t="n">
        <v>6</v>
      </c>
      <c r="J48" s="1" t="s">
        <v>355</v>
      </c>
      <c r="N48" s="3" t="str">
        <f aca="false">"preprocessing/"&amp;A48&amp;"/outputs/40hisat2_mm38_100/mm38_100_genome-paired_sno_gene_gene_id.count.xz"</f>
        <v>preprocessing/iprgc_106/outputs/40hisat2_mm38_100/mm38_100_genome-paired_sno_gene_gene_id.count.xz</v>
      </c>
      <c r="O48" s="3" t="s">
        <v>377</v>
      </c>
      <c r="AP48" s="1" t="s">
        <v>362</v>
      </c>
      <c r="AQ48" s="1" t="s">
        <v>378</v>
      </c>
      <c r="AR48" s="1" t="s">
        <v>379</v>
      </c>
      <c r="AS48" s="1" t="s">
        <v>68</v>
      </c>
      <c r="AT48" s="21" t="s">
        <v>365</v>
      </c>
      <c r="AU48" s="1" t="s">
        <v>380</v>
      </c>
      <c r="AV48" s="1" t="s">
        <v>381</v>
      </c>
      <c r="AX48" s="1" t="s">
        <v>56</v>
      </c>
      <c r="AY48" s="1" t="s">
        <v>57</v>
      </c>
      <c r="AZ48" s="1" t="s">
        <v>58</v>
      </c>
      <c r="BA48" s="1" t="str">
        <f aca="false">CONCATENATE(AX48, "_", AY48)</f>
        <v>het_dlgn</v>
      </c>
      <c r="BB48" s="1" t="s">
        <v>70</v>
      </c>
      <c r="BC48" s="1" t="s">
        <v>366</v>
      </c>
      <c r="BD48" s="1" t="s">
        <v>57</v>
      </c>
    </row>
    <row r="49" customFormat="false" ht="15" hidden="false" customHeight="false" outlineLevel="0" collapsed="false">
      <c r="A49" s="1" t="s">
        <v>382</v>
      </c>
      <c r="B49" s="1" t="s">
        <v>109</v>
      </c>
      <c r="C49" s="1" t="s">
        <v>57</v>
      </c>
      <c r="D49" s="1" t="s">
        <v>197</v>
      </c>
      <c r="E49" s="1" t="str">
        <f aca="false">B49&amp;"_"&amp;C49</f>
        <v>ko_dlgn</v>
      </c>
      <c r="F49" s="1" t="s">
        <v>60</v>
      </c>
      <c r="G49" s="1" t="s">
        <v>383</v>
      </c>
      <c r="H49" s="1" t="s">
        <v>384</v>
      </c>
      <c r="I49" s="1" t="n">
        <v>6</v>
      </c>
      <c r="J49" s="1" t="s">
        <v>355</v>
      </c>
      <c r="N49" s="3" t="str">
        <f aca="false">"preprocessing/"&amp;A49&amp;"/outputs/40hisat2_mm38_100/mm38_100_genome-paired_sno_gene_gene_id.count.xz"</f>
        <v>preprocessing/iprgc_107/outputs/40hisat2_mm38_100/mm38_100_genome-paired_sno_gene_gene_id.count.xz</v>
      </c>
      <c r="O49" s="3" t="s">
        <v>385</v>
      </c>
      <c r="AP49" s="1" t="s">
        <v>362</v>
      </c>
      <c r="AQ49" s="1" t="n">
        <v>16</v>
      </c>
      <c r="AR49" s="1" t="s">
        <v>386</v>
      </c>
      <c r="AS49" s="1" t="s">
        <v>68</v>
      </c>
      <c r="AT49" s="21" t="s">
        <v>365</v>
      </c>
      <c r="AU49" s="1" t="s">
        <v>383</v>
      </c>
      <c r="AV49" s="1" t="s">
        <v>384</v>
      </c>
      <c r="AX49" s="1" t="s">
        <v>109</v>
      </c>
      <c r="AY49" s="1" t="s">
        <v>57</v>
      </c>
      <c r="AZ49" s="1" t="s">
        <v>197</v>
      </c>
      <c r="BA49" s="1" t="str">
        <f aca="false">CONCATENATE(AX49, "_", AY49)</f>
        <v>ko_dlgn</v>
      </c>
      <c r="BB49" s="1" t="s">
        <v>70</v>
      </c>
      <c r="BC49" s="1" t="s">
        <v>366</v>
      </c>
      <c r="BD49" s="1" t="s">
        <v>57</v>
      </c>
    </row>
    <row r="50" customFormat="false" ht="15" hidden="false" customHeight="false" outlineLevel="0" collapsed="false">
      <c r="A50" s="1" t="s">
        <v>387</v>
      </c>
      <c r="B50" s="1" t="s">
        <v>109</v>
      </c>
      <c r="C50" s="1" t="s">
        <v>57</v>
      </c>
      <c r="D50" s="1" t="s">
        <v>58</v>
      </c>
      <c r="E50" s="1" t="str">
        <f aca="false">B50&amp;"_"&amp;C50</f>
        <v>ko_dlgn</v>
      </c>
      <c r="F50" s="1" t="s">
        <v>60</v>
      </c>
      <c r="G50" s="1" t="s">
        <v>388</v>
      </c>
      <c r="H50" s="1" t="s">
        <v>389</v>
      </c>
      <c r="I50" s="1" t="n">
        <v>6</v>
      </c>
      <c r="J50" s="1" t="s">
        <v>355</v>
      </c>
      <c r="N50" s="3" t="str">
        <f aca="false">"preprocessing/"&amp;A50&amp;"/outputs/40hisat2_mm38_100/mm38_100_genome-paired_sno_gene_gene_id.count.xz"</f>
        <v>preprocessing/iprgc_108/outputs/40hisat2_mm38_100/mm38_100_genome-paired_sno_gene_gene_id.count.xz</v>
      </c>
      <c r="O50" s="3" t="s">
        <v>390</v>
      </c>
      <c r="AP50" s="1" t="s">
        <v>362</v>
      </c>
      <c r="AQ50" s="1" t="n">
        <v>18</v>
      </c>
      <c r="AR50" s="1" t="s">
        <v>391</v>
      </c>
      <c r="AS50" s="1" t="s">
        <v>68</v>
      </c>
      <c r="AT50" s="21" t="s">
        <v>365</v>
      </c>
      <c r="AU50" s="1" t="s">
        <v>388</v>
      </c>
      <c r="AV50" s="1" t="s">
        <v>389</v>
      </c>
      <c r="AX50" s="1" t="s">
        <v>109</v>
      </c>
      <c r="AY50" s="1" t="s">
        <v>57</v>
      </c>
      <c r="AZ50" s="1" t="s">
        <v>58</v>
      </c>
      <c r="BA50" s="1" t="str">
        <f aca="false">CONCATENATE(AX50, "_", AY50)</f>
        <v>ko_dlgn</v>
      </c>
      <c r="BB50" s="1" t="s">
        <v>70</v>
      </c>
      <c r="BC50" s="1" t="s">
        <v>366</v>
      </c>
      <c r="BD50" s="1" t="s">
        <v>57</v>
      </c>
    </row>
    <row r="51" customFormat="false" ht="15" hidden="false" customHeight="false" outlineLevel="0" collapsed="false">
      <c r="A51" s="1" t="s">
        <v>392</v>
      </c>
      <c r="B51" s="1" t="s">
        <v>131</v>
      </c>
      <c r="C51" s="1" t="s">
        <v>80</v>
      </c>
      <c r="D51" s="1" t="s">
        <v>197</v>
      </c>
      <c r="E51" s="1" t="str">
        <f aca="false">B51&amp;"_"&amp;C51</f>
        <v>wt_retina</v>
      </c>
      <c r="F51" s="1" t="s">
        <v>82</v>
      </c>
      <c r="G51" s="1" t="s">
        <v>393</v>
      </c>
      <c r="H51" s="1" t="s">
        <v>394</v>
      </c>
      <c r="I51" s="1" t="n">
        <v>6</v>
      </c>
      <c r="J51" s="1" t="s">
        <v>355</v>
      </c>
      <c r="N51" s="3" t="str">
        <f aca="false">"preprocessing/"&amp;A51&amp;"/outputs/40hisat2_mm38_100/mm38_100_genome-paired_sno_gene_gene_id.count.xz"</f>
        <v>preprocessing/iprgc_109/outputs/40hisat2_mm38_100/mm38_100_genome-paired_sno_gene_gene_id.count.xz</v>
      </c>
      <c r="O51" s="3" t="s">
        <v>395</v>
      </c>
      <c r="AP51" s="1" t="s">
        <v>362</v>
      </c>
      <c r="AQ51" s="1" t="s">
        <v>396</v>
      </c>
      <c r="AR51" s="1" t="s">
        <v>397</v>
      </c>
      <c r="AS51" s="1" t="s">
        <v>68</v>
      </c>
      <c r="AT51" s="21" t="s">
        <v>365</v>
      </c>
      <c r="AU51" s="1" t="s">
        <v>393</v>
      </c>
      <c r="AV51" s="1" t="s">
        <v>394</v>
      </c>
      <c r="AX51" s="1" t="s">
        <v>131</v>
      </c>
      <c r="AY51" s="1" t="s">
        <v>80</v>
      </c>
      <c r="AZ51" s="1" t="s">
        <v>197</v>
      </c>
      <c r="BA51" s="1" t="str">
        <f aca="false">CONCATENATE(AX51, "_", AY51)</f>
        <v>wt_retina</v>
      </c>
      <c r="BB51" s="1" t="s">
        <v>70</v>
      </c>
      <c r="BC51" s="1" t="s">
        <v>366</v>
      </c>
      <c r="BD51" s="1" t="s">
        <v>80</v>
      </c>
    </row>
    <row r="52" customFormat="false" ht="15" hidden="false" customHeight="false" outlineLevel="0" collapsed="false">
      <c r="A52" s="1" t="s">
        <v>398</v>
      </c>
      <c r="B52" s="1" t="s">
        <v>56</v>
      </c>
      <c r="C52" s="1" t="s">
        <v>95</v>
      </c>
      <c r="D52" s="1" t="s">
        <v>197</v>
      </c>
      <c r="E52" s="1" t="str">
        <f aca="false">B52&amp;"_"&amp;C52</f>
        <v>het_scn</v>
      </c>
      <c r="F52" s="1" t="s">
        <v>60</v>
      </c>
      <c r="G52" s="1" t="s">
        <v>399</v>
      </c>
      <c r="H52" s="1" t="s">
        <v>400</v>
      </c>
      <c r="I52" s="1" t="n">
        <v>6</v>
      </c>
      <c r="J52" s="1" t="s">
        <v>355</v>
      </c>
      <c r="N52" s="3" t="str">
        <f aca="false">"preprocessing/"&amp;A52&amp;"/outputs/40hisat2_mm38_100/mm38_100_genome-paired_sno_gene_gene_id.count.xz"</f>
        <v>preprocessing/iprgc_110/outputs/40hisat2_mm38_100/mm38_100_genome-paired_sno_gene_gene_id.count.xz</v>
      </c>
      <c r="O52" s="3" t="s">
        <v>401</v>
      </c>
      <c r="AP52" s="1" t="s">
        <v>362</v>
      </c>
      <c r="AQ52" s="1" t="s">
        <v>402</v>
      </c>
      <c r="AR52" s="1" t="s">
        <v>403</v>
      </c>
      <c r="AS52" s="1" t="s">
        <v>68</v>
      </c>
      <c r="AT52" s="1" t="s">
        <v>365</v>
      </c>
      <c r="AU52" s="1" t="s">
        <v>399</v>
      </c>
      <c r="AV52" s="1" t="s">
        <v>400</v>
      </c>
      <c r="AX52" s="1" t="s">
        <v>56</v>
      </c>
      <c r="AY52" s="1" t="s">
        <v>95</v>
      </c>
      <c r="AZ52" s="1" t="s">
        <v>197</v>
      </c>
      <c r="BA52" s="1" t="str">
        <f aca="false">CONCATENATE(AX52, "_", AY52)</f>
        <v>het_scn</v>
      </c>
      <c r="BB52" s="1" t="s">
        <v>70</v>
      </c>
      <c r="BC52" s="1" t="s">
        <v>366</v>
      </c>
      <c r="BD52" s="1" t="s">
        <v>95</v>
      </c>
    </row>
    <row r="53" customFormat="false" ht="15" hidden="false" customHeight="false" outlineLevel="0" collapsed="false">
      <c r="A53" s="1" t="s">
        <v>404</v>
      </c>
      <c r="B53" s="1" t="s">
        <v>56</v>
      </c>
      <c r="C53" s="1" t="s">
        <v>95</v>
      </c>
      <c r="D53" s="1" t="s">
        <v>197</v>
      </c>
      <c r="E53" s="1" t="str">
        <f aca="false">B53&amp;"_"&amp;C53</f>
        <v>het_scn</v>
      </c>
      <c r="F53" s="1" t="s">
        <v>60</v>
      </c>
      <c r="G53" s="1" t="s">
        <v>405</v>
      </c>
      <c r="H53" s="1" t="s">
        <v>406</v>
      </c>
      <c r="I53" s="1" t="n">
        <v>6</v>
      </c>
      <c r="J53" s="1" t="s">
        <v>355</v>
      </c>
      <c r="N53" s="3" t="str">
        <f aca="false">"preprocessing/"&amp;A53&amp;"/outputs/40hisat2_mm38_100/mm38_100_genome-paired_sno_gene_gene_id.count.xz"</f>
        <v>preprocessing/iprgc_111/outputs/40hisat2_mm38_100/mm38_100_genome-paired_sno_gene_gene_id.count.xz</v>
      </c>
      <c r="O53" s="3" t="s">
        <v>407</v>
      </c>
      <c r="AP53" s="1" t="s">
        <v>362</v>
      </c>
      <c r="AQ53" s="1" t="s">
        <v>408</v>
      </c>
      <c r="AR53" s="1" t="s">
        <v>409</v>
      </c>
      <c r="AS53" s="1" t="s">
        <v>68</v>
      </c>
      <c r="AT53" s="1" t="s">
        <v>365</v>
      </c>
      <c r="AU53" s="1" t="s">
        <v>405</v>
      </c>
      <c r="AV53" s="1" t="s">
        <v>406</v>
      </c>
      <c r="AX53" s="1" t="s">
        <v>56</v>
      </c>
      <c r="AY53" s="1" t="s">
        <v>95</v>
      </c>
      <c r="AZ53" s="1" t="s">
        <v>197</v>
      </c>
      <c r="BA53" s="1" t="str">
        <f aca="false">CONCATENATE(AX53, "_", AY53)</f>
        <v>het_scn</v>
      </c>
      <c r="BB53" s="1" t="s">
        <v>70</v>
      </c>
      <c r="BC53" s="1" t="s">
        <v>373</v>
      </c>
      <c r="BD53" s="1" t="s">
        <v>95</v>
      </c>
    </row>
    <row r="54" customFormat="false" ht="15" hidden="false" customHeight="false" outlineLevel="0" collapsed="false">
      <c r="A54" s="1" t="s">
        <v>410</v>
      </c>
      <c r="B54" s="1" t="s">
        <v>56</v>
      </c>
      <c r="C54" s="1" t="s">
        <v>95</v>
      </c>
      <c r="D54" s="1" t="s">
        <v>58</v>
      </c>
      <c r="E54" s="1" t="str">
        <f aca="false">B54&amp;"_"&amp;C54</f>
        <v>het_scn</v>
      </c>
      <c r="F54" s="1" t="s">
        <v>60</v>
      </c>
      <c r="G54" s="1" t="s">
        <v>411</v>
      </c>
      <c r="H54" s="1" t="s">
        <v>412</v>
      </c>
      <c r="I54" s="1" t="n">
        <v>6</v>
      </c>
      <c r="J54" s="1" t="s">
        <v>355</v>
      </c>
      <c r="N54" s="3" t="str">
        <f aca="false">"preprocessing/"&amp;A54&amp;"/outputs/40hisat2_mm38_100/mm38_100_genome-paired_sno_gene_gene_id.count.xz"</f>
        <v>preprocessing/iprgc_112/outputs/40hisat2_mm38_100/mm38_100_genome-paired_sno_gene_gene_id.count.xz</v>
      </c>
      <c r="O54" s="3" t="s">
        <v>413</v>
      </c>
      <c r="AP54" s="1" t="s">
        <v>362</v>
      </c>
      <c r="AQ54" s="1" t="s">
        <v>414</v>
      </c>
      <c r="AR54" s="1" t="s">
        <v>415</v>
      </c>
      <c r="AS54" s="1" t="s">
        <v>68</v>
      </c>
      <c r="AT54" s="1" t="s">
        <v>365</v>
      </c>
      <c r="AU54" s="1" t="s">
        <v>411</v>
      </c>
      <c r="AV54" s="1" t="s">
        <v>412</v>
      </c>
      <c r="AX54" s="1" t="s">
        <v>56</v>
      </c>
      <c r="AY54" s="1" t="s">
        <v>95</v>
      </c>
      <c r="AZ54" s="1" t="s">
        <v>58</v>
      </c>
      <c r="BA54" s="1" t="str">
        <f aca="false">CONCATENATE(AX54, "_", AY54)</f>
        <v>het_scn</v>
      </c>
      <c r="BB54" s="1" t="s">
        <v>70</v>
      </c>
      <c r="BC54" s="1" t="s">
        <v>366</v>
      </c>
      <c r="BD54" s="1" t="s">
        <v>95</v>
      </c>
    </row>
    <row r="55" customFormat="false" ht="15" hidden="false" customHeight="false" outlineLevel="0" collapsed="false">
      <c r="A55" s="1" t="s">
        <v>416</v>
      </c>
      <c r="B55" s="1" t="s">
        <v>109</v>
      </c>
      <c r="C55" s="1" t="s">
        <v>95</v>
      </c>
      <c r="D55" s="1" t="s">
        <v>197</v>
      </c>
      <c r="E55" s="1" t="str">
        <f aca="false">B55&amp;"_"&amp;C55</f>
        <v>ko_scn</v>
      </c>
      <c r="F55" s="1" t="s">
        <v>60</v>
      </c>
      <c r="G55" s="1" t="s">
        <v>417</v>
      </c>
      <c r="H55" s="1" t="s">
        <v>418</v>
      </c>
      <c r="I55" s="1" t="n">
        <v>6</v>
      </c>
      <c r="J55" s="1" t="s">
        <v>355</v>
      </c>
      <c r="N55" s="3" t="str">
        <f aca="false">"preprocessing/"&amp;A55&amp;"/outputs/40hisat2_mm38_100/mm38_100_genome-paired_sno_gene_gene_id.count.xz"</f>
        <v>preprocessing/iprgc_113/outputs/40hisat2_mm38_100/mm38_100_genome-paired_sno_gene_gene_id.count.xz</v>
      </c>
      <c r="O55" s="3" t="s">
        <v>419</v>
      </c>
      <c r="AP55" s="1" t="s">
        <v>362</v>
      </c>
      <c r="AQ55" s="1" t="n">
        <v>25</v>
      </c>
      <c r="AR55" s="1" t="s">
        <v>420</v>
      </c>
      <c r="AS55" s="1" t="s">
        <v>68</v>
      </c>
      <c r="AT55" s="21" t="s">
        <v>365</v>
      </c>
      <c r="AU55" s="1" t="s">
        <v>417</v>
      </c>
      <c r="AV55" s="1" t="s">
        <v>418</v>
      </c>
      <c r="AX55" s="1" t="s">
        <v>109</v>
      </c>
      <c r="AY55" s="1" t="s">
        <v>95</v>
      </c>
      <c r="AZ55" s="1" t="s">
        <v>197</v>
      </c>
      <c r="BA55" s="1" t="str">
        <f aca="false">CONCATENATE(AX55, "_", AY55)</f>
        <v>ko_scn</v>
      </c>
      <c r="BB55" s="1" t="s">
        <v>70</v>
      </c>
      <c r="BC55" s="1" t="s">
        <v>366</v>
      </c>
      <c r="BD55" s="1" t="s">
        <v>95</v>
      </c>
    </row>
    <row r="56" customFormat="false" ht="15" hidden="false" customHeight="false" outlineLevel="0" collapsed="false">
      <c r="A56" s="1" t="s">
        <v>421</v>
      </c>
      <c r="B56" s="1" t="s">
        <v>109</v>
      </c>
      <c r="C56" s="1" t="s">
        <v>95</v>
      </c>
      <c r="D56" s="1" t="s">
        <v>58</v>
      </c>
      <c r="E56" s="1" t="str">
        <f aca="false">B56&amp;"_"&amp;C56</f>
        <v>ko_scn</v>
      </c>
      <c r="F56" s="1" t="s">
        <v>60</v>
      </c>
      <c r="G56" s="1" t="s">
        <v>422</v>
      </c>
      <c r="H56" s="1" t="s">
        <v>423</v>
      </c>
      <c r="I56" s="1" t="n">
        <v>6</v>
      </c>
      <c r="J56" s="1" t="s">
        <v>355</v>
      </c>
      <c r="N56" s="3" t="str">
        <f aca="false">"preprocessing/"&amp;A56&amp;"/outputs/40hisat2_mm38_100/mm38_100_genome-paired_sno_gene_gene_id.count.xz"</f>
        <v>preprocessing/iprgc_114/outputs/40hisat2_mm38_100/mm38_100_genome-paired_sno_gene_gene_id.count.xz</v>
      </c>
      <c r="O56" s="3" t="s">
        <v>424</v>
      </c>
      <c r="AP56" s="1" t="s">
        <v>362</v>
      </c>
      <c r="AQ56" s="1" t="n">
        <v>27</v>
      </c>
      <c r="AR56" s="1" t="s">
        <v>425</v>
      </c>
      <c r="AS56" s="1" t="s">
        <v>68</v>
      </c>
      <c r="AT56" s="21" t="s">
        <v>365</v>
      </c>
      <c r="AU56" s="1" t="s">
        <v>422</v>
      </c>
      <c r="AV56" s="1" t="s">
        <v>423</v>
      </c>
      <c r="AX56" s="1" t="s">
        <v>109</v>
      </c>
      <c r="AY56" s="1" t="s">
        <v>95</v>
      </c>
      <c r="AZ56" s="1" t="s">
        <v>58</v>
      </c>
      <c r="BA56" s="1" t="str">
        <f aca="false">CONCATENATE(AX56, "_", AY56)</f>
        <v>ko_scn</v>
      </c>
      <c r="BB56" s="1" t="s">
        <v>70</v>
      </c>
      <c r="BC56" s="1" t="s">
        <v>366</v>
      </c>
      <c r="BD56" s="1" t="s">
        <v>95</v>
      </c>
    </row>
    <row r="57" customFormat="false" ht="15" hidden="false" customHeight="false" outlineLevel="0" collapsed="false">
      <c r="A57" s="1" t="s">
        <v>426</v>
      </c>
      <c r="B57" s="1" t="s">
        <v>131</v>
      </c>
      <c r="C57" s="1" t="s">
        <v>80</v>
      </c>
      <c r="D57" s="1" t="s">
        <v>197</v>
      </c>
      <c r="E57" s="1" t="str">
        <f aca="false">B57&amp;"_"&amp;C57</f>
        <v>wt_retina</v>
      </c>
      <c r="F57" s="1" t="s">
        <v>82</v>
      </c>
      <c r="G57" s="1" t="s">
        <v>427</v>
      </c>
      <c r="H57" s="1" t="s">
        <v>428</v>
      </c>
      <c r="I57" s="1" t="n">
        <v>6</v>
      </c>
      <c r="J57" s="1" t="s">
        <v>355</v>
      </c>
      <c r="N57" s="3" t="str">
        <f aca="false">"preprocessing/"&amp;A57&amp;"/outputs/40hisat2_mm38_100/mm38_100_genome-paired_sno_gene_gene_id.count.xz"</f>
        <v>preprocessing/iprgc_115/outputs/40hisat2_mm38_100/mm38_100_genome-paired_sno_gene_gene_id.count.xz</v>
      </c>
      <c r="O57" s="3" t="s">
        <v>429</v>
      </c>
      <c r="AP57" s="1" t="s">
        <v>362</v>
      </c>
      <c r="AQ57" s="1" t="s">
        <v>430</v>
      </c>
      <c r="AR57" s="1" t="s">
        <v>431</v>
      </c>
      <c r="AS57" s="1" t="s">
        <v>68</v>
      </c>
      <c r="AT57" s="21" t="s">
        <v>365</v>
      </c>
      <c r="AU57" s="1" t="s">
        <v>427</v>
      </c>
      <c r="AV57" s="1" t="s">
        <v>428</v>
      </c>
      <c r="AX57" s="1" t="s">
        <v>131</v>
      </c>
      <c r="AY57" s="1" t="s">
        <v>80</v>
      </c>
      <c r="AZ57" s="1" t="s">
        <v>197</v>
      </c>
      <c r="BA57" s="1" t="str">
        <f aca="false">CONCATENATE(AX57, "_", AY57)</f>
        <v>wt_retina</v>
      </c>
      <c r="BB57" s="1" t="s">
        <v>70</v>
      </c>
      <c r="BC57" s="1" t="s">
        <v>373</v>
      </c>
      <c r="BD57" s="1" t="s">
        <v>80</v>
      </c>
    </row>
    <row r="58" customFormat="false" ht="15" hidden="false" customHeight="false" outlineLevel="0" collapsed="false">
      <c r="A58" s="1" t="s">
        <v>432</v>
      </c>
      <c r="B58" s="1" t="s">
        <v>131</v>
      </c>
      <c r="C58" s="1" t="s">
        <v>80</v>
      </c>
      <c r="D58" s="1" t="s">
        <v>58</v>
      </c>
      <c r="E58" s="1" t="str">
        <f aca="false">B58&amp;"_"&amp;C58</f>
        <v>wt_retina</v>
      </c>
      <c r="F58" s="1" t="s">
        <v>82</v>
      </c>
      <c r="G58" s="1" t="s">
        <v>433</v>
      </c>
      <c r="H58" s="1" t="s">
        <v>434</v>
      </c>
      <c r="I58" s="1" t="n">
        <v>6</v>
      </c>
      <c r="J58" s="1" t="s">
        <v>355</v>
      </c>
      <c r="N58" s="3" t="str">
        <f aca="false">"preprocessing/"&amp;A58&amp;"/outputs/40hisat2_mm38_100/mm38_100_genome-paired_sno_gene_gene_id.count.xz"</f>
        <v>preprocessing/iprgc_116/outputs/40hisat2_mm38_100/mm38_100_genome-paired_sno_gene_gene_id.count.xz</v>
      </c>
      <c r="O58" s="3" t="s">
        <v>435</v>
      </c>
      <c r="AP58" s="1" t="s">
        <v>362</v>
      </c>
      <c r="AQ58" s="1" t="s">
        <v>436</v>
      </c>
      <c r="AR58" s="1" t="s">
        <v>437</v>
      </c>
      <c r="AS58" s="1" t="s">
        <v>68</v>
      </c>
      <c r="AT58" s="21" t="s">
        <v>365</v>
      </c>
      <c r="AU58" s="1" t="s">
        <v>433</v>
      </c>
      <c r="AV58" s="1" t="s">
        <v>434</v>
      </c>
      <c r="AX58" s="1" t="s">
        <v>131</v>
      </c>
      <c r="AY58" s="1" t="s">
        <v>80</v>
      </c>
      <c r="AZ58" s="1" t="s">
        <v>58</v>
      </c>
      <c r="BA58" s="1" t="str">
        <f aca="false">CONCATENATE(AX58, "_", AY58)</f>
        <v>wt_retina</v>
      </c>
      <c r="BB58" s="1" t="s">
        <v>70</v>
      </c>
      <c r="BC58" s="1" t="s">
        <v>373</v>
      </c>
      <c r="BD58" s="1" t="s">
        <v>80</v>
      </c>
    </row>
    <row r="59" customFormat="false" ht="15" hidden="false" customHeight="false" outlineLevel="0" collapsed="false">
      <c r="A59" s="1" t="s">
        <v>438</v>
      </c>
      <c r="B59" s="1" t="s">
        <v>56</v>
      </c>
      <c r="C59" s="1" t="s">
        <v>80</v>
      </c>
      <c r="D59" s="1" t="s">
        <v>197</v>
      </c>
      <c r="E59" s="1" t="str">
        <f aca="false">B59&amp;"_"&amp;C59</f>
        <v>het_retina</v>
      </c>
      <c r="F59" s="1" t="s">
        <v>82</v>
      </c>
      <c r="G59" s="1" t="s">
        <v>439</v>
      </c>
      <c r="H59" s="1" t="s">
        <v>440</v>
      </c>
      <c r="I59" s="1" t="n">
        <v>6</v>
      </c>
      <c r="J59" s="1" t="s">
        <v>355</v>
      </c>
      <c r="N59" s="3" t="str">
        <f aca="false">"preprocessing/"&amp;A59&amp;"/outputs/40hisat2_mm38_100/mm38_100_genome-paired_sno_gene_gene_id.count.xz"</f>
        <v>preprocessing/iprgc_117/outputs/40hisat2_mm38_100/mm38_100_genome-paired_sno_gene_gene_id.count.xz</v>
      </c>
      <c r="O59" s="3" t="s">
        <v>441</v>
      </c>
      <c r="AP59" s="1" t="s">
        <v>362</v>
      </c>
      <c r="AQ59" s="1" t="s">
        <v>442</v>
      </c>
      <c r="AR59" s="1" t="s">
        <v>443</v>
      </c>
      <c r="AS59" s="1" t="s">
        <v>68</v>
      </c>
      <c r="AT59" s="21" t="s">
        <v>365</v>
      </c>
      <c r="AU59" s="1" t="s">
        <v>439</v>
      </c>
      <c r="AV59" s="1" t="s">
        <v>440</v>
      </c>
      <c r="AX59" s="1" t="s">
        <v>56</v>
      </c>
      <c r="AY59" s="1" t="s">
        <v>80</v>
      </c>
      <c r="AZ59" s="1" t="s">
        <v>197</v>
      </c>
      <c r="BA59" s="1" t="str">
        <f aca="false">CONCATENATE(AX59, "_", AY59)</f>
        <v>het_retina</v>
      </c>
      <c r="BB59" s="1" t="s">
        <v>70</v>
      </c>
      <c r="BC59" s="1" t="s">
        <v>366</v>
      </c>
      <c r="BD59" s="1" t="s">
        <v>80</v>
      </c>
    </row>
    <row r="60" customFormat="false" ht="15" hidden="false" customHeight="false" outlineLevel="0" collapsed="false">
      <c r="A60" s="1" t="s">
        <v>444</v>
      </c>
      <c r="B60" s="1" t="s">
        <v>56</v>
      </c>
      <c r="C60" s="1" t="s">
        <v>80</v>
      </c>
      <c r="D60" s="1" t="s">
        <v>197</v>
      </c>
      <c r="E60" s="1" t="str">
        <f aca="false">B60&amp;"_"&amp;C60</f>
        <v>het_retina</v>
      </c>
      <c r="F60" s="1" t="s">
        <v>82</v>
      </c>
      <c r="G60" s="1" t="s">
        <v>445</v>
      </c>
      <c r="H60" s="1" t="s">
        <v>446</v>
      </c>
      <c r="I60" s="1" t="n">
        <v>6</v>
      </c>
      <c r="J60" s="1" t="s">
        <v>355</v>
      </c>
      <c r="N60" s="3" t="str">
        <f aca="false">"preprocessing/"&amp;A60&amp;"/outputs/40hisat2_mm38_100/mm38_100_genome-paired_sno_gene_gene_id.count.xz"</f>
        <v>preprocessing/iprgc_118/outputs/40hisat2_mm38_100/mm38_100_genome-paired_sno_gene_gene_id.count.xz</v>
      </c>
      <c r="O60" s="3" t="s">
        <v>447</v>
      </c>
      <c r="AP60" s="1" t="s">
        <v>362</v>
      </c>
      <c r="AQ60" s="1" t="n">
        <v>5</v>
      </c>
      <c r="AR60" s="1" t="s">
        <v>448</v>
      </c>
      <c r="AS60" s="1" t="s">
        <v>68</v>
      </c>
      <c r="AT60" s="21" t="s">
        <v>365</v>
      </c>
      <c r="AU60" s="1" t="s">
        <v>449</v>
      </c>
      <c r="AV60" s="1" t="s">
        <v>450</v>
      </c>
      <c r="AX60" s="1" t="s">
        <v>56</v>
      </c>
      <c r="AY60" s="1" t="s">
        <v>80</v>
      </c>
      <c r="AZ60" s="1" t="s">
        <v>197</v>
      </c>
      <c r="BA60" s="1" t="str">
        <f aca="false">CONCATENATE(AX60, "_", AY60)</f>
        <v>het_retina</v>
      </c>
      <c r="BB60" s="1" t="s">
        <v>70</v>
      </c>
      <c r="BC60" s="1" t="s">
        <v>373</v>
      </c>
      <c r="BD60" s="1" t="s">
        <v>80</v>
      </c>
    </row>
    <row r="61" customFormat="false" ht="15" hidden="false" customHeight="false" outlineLevel="0" collapsed="false">
      <c r="A61" s="1" t="s">
        <v>451</v>
      </c>
      <c r="B61" s="1" t="s">
        <v>56</v>
      </c>
      <c r="C61" s="1" t="s">
        <v>80</v>
      </c>
      <c r="D61" s="1" t="s">
        <v>58</v>
      </c>
      <c r="E61" s="1" t="str">
        <f aca="false">B61&amp;"_"&amp;C61</f>
        <v>het_retina</v>
      </c>
      <c r="F61" s="1" t="s">
        <v>82</v>
      </c>
      <c r="G61" s="1" t="s">
        <v>452</v>
      </c>
      <c r="H61" s="1" t="s">
        <v>453</v>
      </c>
      <c r="I61" s="1" t="n">
        <v>6</v>
      </c>
      <c r="J61" s="1" t="s">
        <v>355</v>
      </c>
      <c r="N61" s="3" t="str">
        <f aca="false">"preprocessing/"&amp;A61&amp;"/outputs/40hisat2_mm38_100/mm38_100_genome-paired_sno_gene_gene_id.count.xz"</f>
        <v>preprocessing/iprgc_119/outputs/40hisat2_mm38_100/mm38_100_genome-paired_sno_gene_gene_id.count.xz</v>
      </c>
      <c r="O61" s="3" t="s">
        <v>454</v>
      </c>
      <c r="AP61" s="1" t="s">
        <v>362</v>
      </c>
      <c r="AQ61" s="1" t="s">
        <v>455</v>
      </c>
      <c r="AR61" s="1" t="s">
        <v>456</v>
      </c>
      <c r="AS61" s="1" t="s">
        <v>68</v>
      </c>
      <c r="AT61" s="21" t="s">
        <v>365</v>
      </c>
      <c r="AU61" s="1" t="s">
        <v>452</v>
      </c>
      <c r="AV61" s="1" t="s">
        <v>453</v>
      </c>
      <c r="AX61" s="1" t="s">
        <v>56</v>
      </c>
      <c r="AY61" s="1" t="s">
        <v>80</v>
      </c>
      <c r="AZ61" s="1" t="s">
        <v>58</v>
      </c>
      <c r="BA61" s="1" t="str">
        <f aca="false">CONCATENATE(AX61, "_", AY61)</f>
        <v>het_retina</v>
      </c>
      <c r="BB61" s="1" t="s">
        <v>70</v>
      </c>
      <c r="BC61" s="1" t="s">
        <v>366</v>
      </c>
      <c r="BD61" s="1" t="s">
        <v>80</v>
      </c>
    </row>
    <row r="62" customFormat="false" ht="15" hidden="false" customHeight="false" outlineLevel="0" collapsed="false">
      <c r="A62" s="1" t="s">
        <v>457</v>
      </c>
      <c r="B62" s="1" t="s">
        <v>109</v>
      </c>
      <c r="C62" s="1" t="s">
        <v>80</v>
      </c>
      <c r="D62" s="1" t="s">
        <v>197</v>
      </c>
      <c r="E62" s="1" t="str">
        <f aca="false">B62&amp;"_"&amp;C62</f>
        <v>ko_retina</v>
      </c>
      <c r="F62" s="1" t="s">
        <v>82</v>
      </c>
      <c r="G62" s="1" t="s">
        <v>458</v>
      </c>
      <c r="H62" s="1" t="s">
        <v>459</v>
      </c>
      <c r="I62" s="1" t="n">
        <v>6</v>
      </c>
      <c r="J62" s="1" t="s">
        <v>355</v>
      </c>
      <c r="N62" s="3" t="str">
        <f aca="false">"preprocessing/"&amp;A62&amp;"/outputs/40hisat2_mm38_100/mm38_100_genome-paired_sno_gene_gene_id.count.xz"</f>
        <v>preprocessing/iprgc_120/outputs/40hisat2_mm38_100/mm38_100_genome-paired_sno_gene_gene_id.count.xz</v>
      </c>
      <c r="O62" s="3" t="s">
        <v>460</v>
      </c>
      <c r="AP62" s="1" t="s">
        <v>362</v>
      </c>
      <c r="AQ62" s="1" t="n">
        <v>7</v>
      </c>
      <c r="AR62" s="1" t="s">
        <v>461</v>
      </c>
      <c r="AS62" s="1" t="s">
        <v>68</v>
      </c>
      <c r="AT62" s="21" t="s">
        <v>365</v>
      </c>
      <c r="AU62" s="1" t="s">
        <v>458</v>
      </c>
      <c r="AV62" s="1" t="s">
        <v>459</v>
      </c>
      <c r="AX62" s="1" t="s">
        <v>109</v>
      </c>
      <c r="AY62" s="1" t="s">
        <v>80</v>
      </c>
      <c r="AZ62" s="1" t="s">
        <v>197</v>
      </c>
      <c r="BA62" s="1" t="str">
        <f aca="false">CONCATENATE(AX62, "_", AY62)</f>
        <v>ko_retina</v>
      </c>
      <c r="BB62" s="1" t="s">
        <v>70</v>
      </c>
      <c r="BC62" s="1" t="s">
        <v>366</v>
      </c>
      <c r="BD62" s="1" t="s">
        <v>80</v>
      </c>
    </row>
    <row r="63" customFormat="false" ht="15" hidden="false" customHeight="false" outlineLevel="0" collapsed="false">
      <c r="A63" s="1" t="s">
        <v>462</v>
      </c>
      <c r="B63" s="1" t="s">
        <v>109</v>
      </c>
      <c r="C63" s="1" t="s">
        <v>80</v>
      </c>
      <c r="D63" s="1" t="s">
        <v>197</v>
      </c>
      <c r="E63" s="1" t="str">
        <f aca="false">B63&amp;"_"&amp;C63</f>
        <v>ko_retina</v>
      </c>
      <c r="F63" s="1" t="s">
        <v>82</v>
      </c>
      <c r="G63" s="1" t="s">
        <v>463</v>
      </c>
      <c r="H63" s="1" t="s">
        <v>464</v>
      </c>
      <c r="I63" s="1" t="n">
        <v>6</v>
      </c>
      <c r="J63" s="1" t="s">
        <v>355</v>
      </c>
      <c r="N63" s="3" t="str">
        <f aca="false">"preprocessing/"&amp;A63&amp;"/outputs/40hisat2_mm38_100/mm38_100_genome-paired_sno_gene_gene_id.count.xz"</f>
        <v>preprocessing/iprgc_121/outputs/40hisat2_mm38_100/mm38_100_genome-paired_sno_gene_gene_id.count.xz</v>
      </c>
      <c r="O63" s="3" t="s">
        <v>465</v>
      </c>
      <c r="AP63" s="1" t="s">
        <v>362</v>
      </c>
      <c r="AQ63" s="1" t="n">
        <v>8</v>
      </c>
      <c r="AR63" s="1" t="s">
        <v>466</v>
      </c>
      <c r="AS63" s="1" t="s">
        <v>68</v>
      </c>
      <c r="AT63" s="21" t="s">
        <v>365</v>
      </c>
      <c r="AU63" s="1" t="s">
        <v>463</v>
      </c>
      <c r="AV63" s="1" t="s">
        <v>464</v>
      </c>
      <c r="AX63" s="1" t="s">
        <v>109</v>
      </c>
      <c r="AY63" s="1" t="s">
        <v>80</v>
      </c>
      <c r="AZ63" s="1" t="s">
        <v>197</v>
      </c>
      <c r="BA63" s="1" t="str">
        <f aca="false">CONCATENATE(AX63, "_", AY63)</f>
        <v>ko_retina</v>
      </c>
      <c r="BB63" s="1" t="s">
        <v>70</v>
      </c>
      <c r="BC63" s="1" t="s">
        <v>373</v>
      </c>
      <c r="BD63" s="1" t="s">
        <v>80</v>
      </c>
    </row>
    <row r="64" customFormat="false" ht="15" hidden="false" customHeight="false" outlineLevel="0" collapsed="false">
      <c r="A64" s="1" t="s">
        <v>467</v>
      </c>
      <c r="B64" s="1" t="s">
        <v>109</v>
      </c>
      <c r="C64" s="1" t="s">
        <v>80</v>
      </c>
      <c r="D64" s="1" t="s">
        <v>58</v>
      </c>
      <c r="E64" s="1" t="str">
        <f aca="false">B64&amp;"_"&amp;C64</f>
        <v>ko_retina</v>
      </c>
      <c r="F64" s="1" t="s">
        <v>82</v>
      </c>
      <c r="G64" s="1" t="s">
        <v>468</v>
      </c>
      <c r="H64" s="1" t="s">
        <v>469</v>
      </c>
      <c r="I64" s="1" t="n">
        <v>6</v>
      </c>
      <c r="J64" s="1" t="s">
        <v>355</v>
      </c>
      <c r="N64" s="3" t="str">
        <f aca="false">"preprocessing/"&amp;A64&amp;"/outputs/40hisat2_mm38_100/mm38_100_genome-paired_sno_gene_gene_id.count.xz"</f>
        <v>preprocessing/iprgc_122/outputs/40hisat2_mm38_100/mm38_100_genome-paired_sno_gene_gene_id.count.xz</v>
      </c>
      <c r="O64" s="3" t="s">
        <v>470</v>
      </c>
      <c r="AP64" s="1" t="s">
        <v>362</v>
      </c>
      <c r="AQ64" s="1" t="n">
        <v>9</v>
      </c>
      <c r="AR64" s="1" t="s">
        <v>471</v>
      </c>
      <c r="AS64" s="1" t="s">
        <v>68</v>
      </c>
      <c r="AT64" s="21" t="s">
        <v>365</v>
      </c>
      <c r="AU64" s="1" t="s">
        <v>468</v>
      </c>
      <c r="AV64" s="1" t="s">
        <v>469</v>
      </c>
      <c r="AX64" s="1" t="s">
        <v>109</v>
      </c>
      <c r="AY64" s="1" t="s">
        <v>80</v>
      </c>
      <c r="AZ64" s="1" t="s">
        <v>58</v>
      </c>
      <c r="BA64" s="1" t="str">
        <f aca="false">CONCATENATE(AX64, "_", AY64)</f>
        <v>ko_retina</v>
      </c>
      <c r="BB64" s="1" t="s">
        <v>70</v>
      </c>
      <c r="BC64" s="1" t="s">
        <v>366</v>
      </c>
      <c r="BD64" s="1" t="s">
        <v>80</v>
      </c>
    </row>
    <row r="65" customFormat="false" ht="15" hidden="false" customHeight="false" outlineLevel="0" collapsed="false">
      <c r="BA65" s="1" t="str">
        <f aca="false">CONCATENATE(AX65, "_", AY65)</f>
        <v>_</v>
      </c>
    </row>
    <row r="66" customFormat="false" ht="15" hidden="false" customHeight="false" outlineLevel="0" collapsed="false">
      <c r="A66" s="1" t="s">
        <v>472</v>
      </c>
      <c r="AP66" s="22" t="s">
        <v>362</v>
      </c>
      <c r="AQ66" s="22" t="n">
        <v>17</v>
      </c>
      <c r="AR66" s="22" t="s">
        <v>473</v>
      </c>
      <c r="AS66" s="22" t="s">
        <v>68</v>
      </c>
      <c r="AT66" s="23" t="s">
        <v>474</v>
      </c>
      <c r="AU66" s="22" t="s">
        <v>475</v>
      </c>
      <c r="AV66" s="22" t="s">
        <v>476</v>
      </c>
      <c r="AW66" s="22"/>
      <c r="AX66" s="22" t="s">
        <v>109</v>
      </c>
      <c r="AY66" s="22" t="s">
        <v>57</v>
      </c>
      <c r="AZ66" s="22" t="s">
        <v>197</v>
      </c>
      <c r="BA66" s="1" t="str">
        <f aca="false">CONCATENATE(AX66, "_", AY66)</f>
        <v>ko_dlgn</v>
      </c>
      <c r="BB66" s="1" t="s">
        <v>70</v>
      </c>
      <c r="BC66" s="22" t="s">
        <v>373</v>
      </c>
      <c r="BD66" s="22" t="s">
        <v>57</v>
      </c>
    </row>
    <row r="67" customFormat="false" ht="15" hidden="false" customHeight="false" outlineLevel="0" collapsed="false">
      <c r="A67" s="1" t="s">
        <v>477</v>
      </c>
      <c r="N67" s="3"/>
      <c r="O67" s="3"/>
      <c r="AP67" s="22" t="s">
        <v>362</v>
      </c>
      <c r="AQ67" s="22" t="n">
        <v>26</v>
      </c>
      <c r="AR67" s="22" t="s">
        <v>478</v>
      </c>
      <c r="AS67" s="22" t="s">
        <v>68</v>
      </c>
      <c r="AT67" s="22" t="s">
        <v>365</v>
      </c>
      <c r="AU67" s="22" t="s">
        <v>479</v>
      </c>
      <c r="AV67" s="22" t="s">
        <v>480</v>
      </c>
      <c r="AW67" s="22"/>
      <c r="AX67" s="22" t="s">
        <v>109</v>
      </c>
      <c r="AY67" s="22" t="s">
        <v>95</v>
      </c>
      <c r="AZ67" s="22" t="s">
        <v>197</v>
      </c>
      <c r="BA67" s="1" t="str">
        <f aca="false">CONCATENATE(AX67, "_", AY67)</f>
        <v>ko_scn</v>
      </c>
      <c r="BB67" s="1" t="s">
        <v>70</v>
      </c>
      <c r="BC67" s="22" t="s">
        <v>373</v>
      </c>
      <c r="BD67" s="22" t="s">
        <v>95</v>
      </c>
    </row>
    <row r="68" customFormat="false" ht="15" hidden="false" customHeight="false" outlineLevel="0" collapsed="false">
      <c r="A68" s="1" t="s">
        <v>481</v>
      </c>
      <c r="AP68" s="24" t="s">
        <v>362</v>
      </c>
      <c r="AQ68" s="24" t="s">
        <v>482</v>
      </c>
      <c r="AR68" s="24" t="s">
        <v>483</v>
      </c>
      <c r="AS68" s="24" t="s">
        <v>68</v>
      </c>
      <c r="AT68" s="24" t="s">
        <v>365</v>
      </c>
      <c r="AU68" s="24" t="s">
        <v>484</v>
      </c>
      <c r="AV68" s="24" t="s">
        <v>485</v>
      </c>
      <c r="AW68" s="24" t="s">
        <v>486</v>
      </c>
      <c r="AX68" s="24" t="s">
        <v>131</v>
      </c>
      <c r="AY68" s="24" t="s">
        <v>57</v>
      </c>
      <c r="AZ68" s="24" t="s">
        <v>197</v>
      </c>
      <c r="BA68" s="1" t="str">
        <f aca="false">CONCATENATE(AX68, "_", AY68)</f>
        <v>wt_dlgn</v>
      </c>
      <c r="BB68" s="1" t="s">
        <v>70</v>
      </c>
      <c r="BC68" s="24" t="s">
        <v>366</v>
      </c>
      <c r="BD68" s="24" t="s">
        <v>57</v>
      </c>
    </row>
    <row r="69" customFormat="false" ht="15" hidden="false" customHeight="false" outlineLevel="0" collapsed="false">
      <c r="A69" s="1" t="s">
        <v>487</v>
      </c>
      <c r="AP69" s="24" t="s">
        <v>362</v>
      </c>
      <c r="AQ69" s="24" t="s">
        <v>488</v>
      </c>
      <c r="AR69" s="24" t="s">
        <v>489</v>
      </c>
      <c r="AS69" s="24" t="s">
        <v>68</v>
      </c>
      <c r="AT69" s="24" t="s">
        <v>474</v>
      </c>
      <c r="AU69" s="24" t="s">
        <v>490</v>
      </c>
      <c r="AV69" s="24" t="s">
        <v>491</v>
      </c>
      <c r="AW69" s="24" t="s">
        <v>486</v>
      </c>
      <c r="AX69" s="24" t="s">
        <v>131</v>
      </c>
      <c r="AY69" s="24" t="s">
        <v>57</v>
      </c>
      <c r="AZ69" s="24" t="s">
        <v>197</v>
      </c>
      <c r="BA69" s="1" t="str">
        <f aca="false">CONCATENATE(AX69, "_", AY69)</f>
        <v>wt_dlgn</v>
      </c>
      <c r="BB69" s="1" t="s">
        <v>70</v>
      </c>
      <c r="BC69" s="24" t="s">
        <v>373</v>
      </c>
      <c r="BD69" s="24" t="s">
        <v>57</v>
      </c>
    </row>
    <row r="70" customFormat="false" ht="15" hidden="false" customHeight="false" outlineLevel="0" collapsed="false">
      <c r="A70" s="1" t="s">
        <v>492</v>
      </c>
      <c r="AP70" s="24" t="s">
        <v>362</v>
      </c>
      <c r="AQ70" s="24" t="s">
        <v>493</v>
      </c>
      <c r="AR70" s="24" t="s">
        <v>494</v>
      </c>
      <c r="AS70" s="24" t="s">
        <v>68</v>
      </c>
      <c r="AT70" s="24" t="s">
        <v>474</v>
      </c>
      <c r="AU70" s="24" t="s">
        <v>495</v>
      </c>
      <c r="AV70" s="24" t="s">
        <v>496</v>
      </c>
      <c r="AX70" s="1" t="s">
        <v>131</v>
      </c>
      <c r="AY70" s="1" t="s">
        <v>57</v>
      </c>
      <c r="AZ70" s="1" t="s">
        <v>58</v>
      </c>
      <c r="BA70" s="1" t="str">
        <f aca="false">CONCATENATE(AX70, "_", AY70)</f>
        <v>wt_dlgn</v>
      </c>
      <c r="BB70" s="1" t="s">
        <v>70</v>
      </c>
      <c r="BC70" s="1" t="s">
        <v>373</v>
      </c>
      <c r="BD70" s="1" t="s">
        <v>57</v>
      </c>
    </row>
    <row r="71" customFormat="false" ht="15" hidden="false" customHeight="false" outlineLevel="0" collapsed="false">
      <c r="A71" s="1" t="s">
        <v>497</v>
      </c>
      <c r="AP71" s="24" t="s">
        <v>362</v>
      </c>
      <c r="AQ71" s="24" t="s">
        <v>498</v>
      </c>
      <c r="AR71" s="24" t="s">
        <v>499</v>
      </c>
      <c r="AS71" s="24" t="s">
        <v>68</v>
      </c>
      <c r="AT71" s="24" t="s">
        <v>474</v>
      </c>
      <c r="AU71" s="24" t="s">
        <v>500</v>
      </c>
      <c r="AV71" s="24" t="s">
        <v>501</v>
      </c>
      <c r="AW71" s="24" t="s">
        <v>486</v>
      </c>
      <c r="AX71" s="24" t="s">
        <v>131</v>
      </c>
      <c r="AY71" s="24" t="s">
        <v>95</v>
      </c>
      <c r="AZ71" s="24" t="s">
        <v>197</v>
      </c>
      <c r="BA71" s="1" t="str">
        <f aca="false">CONCATENATE(AX71, "_", AY71)</f>
        <v>wt_scn</v>
      </c>
      <c r="BB71" s="1" t="s">
        <v>70</v>
      </c>
      <c r="BC71" s="24" t="s">
        <v>366</v>
      </c>
      <c r="BD71" s="24" t="s">
        <v>95</v>
      </c>
    </row>
    <row r="72" customFormat="false" ht="15" hidden="false" customHeight="false" outlineLevel="0" collapsed="false">
      <c r="A72" s="1" t="s">
        <v>502</v>
      </c>
      <c r="AP72" s="24" t="s">
        <v>362</v>
      </c>
      <c r="AQ72" s="24" t="s">
        <v>503</v>
      </c>
      <c r="AR72" s="24" t="s">
        <v>504</v>
      </c>
      <c r="AS72" s="24" t="s">
        <v>68</v>
      </c>
      <c r="AT72" s="24" t="s">
        <v>474</v>
      </c>
      <c r="AU72" s="24" t="s">
        <v>505</v>
      </c>
      <c r="AV72" s="24" t="s">
        <v>506</v>
      </c>
      <c r="AW72" s="24" t="s">
        <v>486</v>
      </c>
      <c r="AX72" s="24" t="s">
        <v>131</v>
      </c>
      <c r="AY72" s="24" t="s">
        <v>95</v>
      </c>
      <c r="AZ72" s="24" t="s">
        <v>197</v>
      </c>
      <c r="BA72" s="1" t="str">
        <f aca="false">CONCATENATE(AX72, "_", AY72)</f>
        <v>wt_scn</v>
      </c>
      <c r="BB72" s="1" t="s">
        <v>70</v>
      </c>
      <c r="BC72" s="24" t="s">
        <v>373</v>
      </c>
      <c r="BD72" s="24" t="s">
        <v>95</v>
      </c>
    </row>
    <row r="73" customFormat="false" ht="15" hidden="false" customHeight="false" outlineLevel="0" collapsed="false">
      <c r="A73" s="1" t="s">
        <v>507</v>
      </c>
      <c r="AP73" s="24" t="s">
        <v>362</v>
      </c>
      <c r="AQ73" s="24" t="s">
        <v>508</v>
      </c>
      <c r="AR73" s="24" t="s">
        <v>509</v>
      </c>
      <c r="AS73" s="24" t="s">
        <v>68</v>
      </c>
      <c r="AT73" s="24" t="s">
        <v>474</v>
      </c>
      <c r="AU73" s="24" t="s">
        <v>510</v>
      </c>
      <c r="AV73" s="24" t="s">
        <v>511</v>
      </c>
      <c r="AW73" s="24" t="s">
        <v>486</v>
      </c>
      <c r="AX73" s="24" t="s">
        <v>131</v>
      </c>
      <c r="AY73" s="24" t="s">
        <v>95</v>
      </c>
      <c r="AZ73" s="24" t="s">
        <v>58</v>
      </c>
      <c r="BA73" s="1" t="str">
        <f aca="false">CONCATENATE(AX73, "_", AY73)</f>
        <v>wt_scn</v>
      </c>
      <c r="BB73" s="1" t="s">
        <v>70</v>
      </c>
      <c r="BC73" s="24" t="s">
        <v>373</v>
      </c>
      <c r="BD73" s="16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16602</TotalTime>
  <Application>LibreOffice/24.8.3.2$Linux_X86_64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2019-12-12T12:09:35Z</dcterms:created>
  <dc:creator/>
  <dc:description/>
  <dc:language>en-US</dc:language>
  <cp:lastModifiedBy>Ashton Belew</cp:lastModifiedBy>
  <dcterms:modified xsi:type="dcterms:W3CDTF">2025-01-10T12:09:44Z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