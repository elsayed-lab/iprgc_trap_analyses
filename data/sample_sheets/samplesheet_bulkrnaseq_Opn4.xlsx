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<sst xmlns="http://schemas.openxmlformats.org/spreadsheetml/2006/main" count="607" uniqueCount="256">
  <si>
    <t xml:space="preserve">sampleid</t>
  </si>
  <si>
    <t xml:space="preserve">samplenumb</t>
  </si>
  <si>
    <t xml:space="preserve">included</t>
  </si>
  <si>
    <t xml:space="preserve">genotype</t>
  </si>
  <si>
    <t xml:space="preserve">location</t>
  </si>
  <si>
    <t xml:space="preserve">bio_replicate</t>
  </si>
  <si>
    <t xml:space="preserve">time</t>
  </si>
  <si>
    <t xml:space="preserve">location_time</t>
  </si>
  <si>
    <t xml:space="preserve">condition</t>
  </si>
  <si>
    <t xml:space="preserve">raw_r1</t>
  </si>
  <si>
    <t xml:space="preserve">raw_r2</t>
  </si>
  <si>
    <t xml:space="preserve">batch</t>
  </si>
  <si>
    <t xml:space="preserve">date_received</t>
  </si>
  <si>
    <t xml:space="preserve">het_number</t>
  </si>
  <si>
    <t xml:space="preserve">tech_replicate</t>
  </si>
  <si>
    <t xml:space="preserve">file</t>
  </si>
  <si>
    <t xml:space="preserve">modified_file</t>
  </si>
  <si>
    <t xml:space="preserve">salmonfile</t>
  </si>
  <si>
    <t xml:space="preserve">salmon_count_table</t>
  </si>
  <si>
    <t xml:space="preserve">total reads</t>
  </si>
  <si>
    <t xml:space="preserve">trim1_both_surviving</t>
  </si>
  <si>
    <t xml:space="preserve">trim1_suriving_pct</t>
  </si>
  <si>
    <t xml:space="preserve">trim1_forward</t>
  </si>
  <si>
    <t xml:space="preserve">trim1_reverse</t>
  </si>
  <si>
    <t xml:space="preserve">trim1_dropped</t>
  </si>
  <si>
    <t xml:space="preserve">hisat_single</t>
  </si>
  <si>
    <t xml:space="preserve">hisat_multi</t>
  </si>
  <si>
    <t xml:space="preserve">hisat_map_pct</t>
  </si>
  <si>
    <t xml:space="preserve">hisat_mapped_total_reads</t>
  </si>
  <si>
    <t xml:space="preserve">genes observed</t>
  </si>
  <si>
    <t xml:space="preserve">S1_KO_dLGN_S8</t>
  </si>
  <si>
    <t xml:space="preserve">S8</t>
  </si>
  <si>
    <t xml:space="preserve">yes</t>
  </si>
  <si>
    <t xml:space="preserve">ko</t>
  </si>
  <si>
    <t xml:space="preserve">dLGN</t>
  </si>
  <si>
    <t xml:space="preserve">p08</t>
  </si>
  <si>
    <t xml:space="preserve">dLGN_ko</t>
  </si>
  <si>
    <t xml:space="preserve">S1_KO_dLGN_S8_R1_001.fastq.gz </t>
  </si>
  <si>
    <t xml:space="preserve">S1_KO_dLGN_S8_R2_001.fastq.gz </t>
  </si>
  <si>
    <t xml:space="preserve">b202209</t>
  </si>
  <si>
    <t xml:space="preserve">preprocessing/Opn4_bulkRNAseq/S1_KO_dLGN_S8/outputs/40hisat2_mm38_100/mm38_100_genome-paired_gene_sreverse_gene_ID.count.xz</t>
  </si>
  <si>
    <t xml:space="preserve">S1_KO_Ret_S7</t>
  </si>
  <si>
    <t xml:space="preserve">S7</t>
  </si>
  <si>
    <t xml:space="preserve">Retina</t>
  </si>
  <si>
    <t xml:space="preserve">S1_KO_Ret_S7_R1_001.fastq.gz </t>
  </si>
  <si>
    <t xml:space="preserve">S1_KO_Ret_S7_R2_001.fastq.gz </t>
  </si>
  <si>
    <t xml:space="preserve">preprocessing/Opn4_bulkRNAseq/S1_KO_Ret_S7/outputs/40hisat2_mm38_100/mm38_100_genome-paired_gene_sreverse_gene_ID.count.xz</t>
  </si>
  <si>
    <t xml:space="preserve">S1_KO_SCN_S9</t>
  </si>
  <si>
    <t xml:space="preserve">S9</t>
  </si>
  <si>
    <t xml:space="preserve">SCN</t>
  </si>
  <si>
    <t xml:space="preserve">S1_KO_SCN_S9_R1_001.fastq.gz</t>
  </si>
  <si>
    <t xml:space="preserve">S1_KO_SCN_S9_R2_001.fastq.gz</t>
  </si>
  <si>
    <t xml:space="preserve">preprocessing/Opn4_bulkRNAseq/S1_KO_SCN_S9/outputs/40hisat2_mm38_100/mm38_100_genome-paired_gene_sreverse_gene_ID.count.xz</t>
  </si>
  <si>
    <t xml:space="preserve">S2_KO_dLGN_S11</t>
  </si>
  <si>
    <t xml:space="preserve">S11</t>
  </si>
  <si>
    <t xml:space="preserve">S2_KO_dLGN_S11_R1_001.fastq.gz</t>
  </si>
  <si>
    <t xml:space="preserve">S2_KO_dLGN_S11_R2_001.fastq.gz</t>
  </si>
  <si>
    <t xml:space="preserve">preprocessing/Opn4_bulkRNAseq/S2_KO_dLGN_S11/outputs/40hisat2_mm38_100/mm38_100_genome-paired_gene_sreverse_gene_ID.count.xz</t>
  </si>
  <si>
    <t xml:space="preserve">S2_KO_Ret_S10</t>
  </si>
  <si>
    <t xml:space="preserve">S10</t>
  </si>
  <si>
    <t xml:space="preserve">S2_KO_Ret_S10_R1_001.fastq.gz</t>
  </si>
  <si>
    <t xml:space="preserve">S2_KO_Ret_S10_R2_001.fastq.gz</t>
  </si>
  <si>
    <t xml:space="preserve">preprocessing/Opn4_bulkRNAseq/S2_KO_Ret_S10/outputs/40hisat2_mm38_100/mm38_100_genome-paired_gene_sreverse_gene_ID.count.xz</t>
  </si>
  <si>
    <t xml:space="preserve">S2_KO_SCN_S12</t>
  </si>
  <si>
    <t xml:space="preserve">S12</t>
  </si>
  <si>
    <t xml:space="preserve">S2_KO_SCN_S12_R1_001.fastq.gz</t>
  </si>
  <si>
    <t xml:space="preserve">S2_KO_SCN_S12_R2_001.fastq.gz</t>
  </si>
  <si>
    <t xml:space="preserve">preprocessing/Opn4_bulkRNAseq/S2_KO_SCN_S12/outputs/40hisat2_mm38_100/mm38_100_genome-paired_gene_sreverse_gene_ID.count.xz</t>
  </si>
  <si>
    <t xml:space="preserve">S3_Het_dLGN_S2</t>
  </si>
  <si>
    <t xml:space="preserve">S2</t>
  </si>
  <si>
    <t xml:space="preserve">no</t>
  </si>
  <si>
    <t xml:space="preserve">het</t>
  </si>
  <si>
    <t xml:space="preserve">S3_Het_dLGN_S2_R1_001.fastq.gz</t>
  </si>
  <si>
    <t xml:space="preserve">S3_Het_dLGN_S2_R2_001.fastq.gz</t>
  </si>
  <si>
    <t xml:space="preserve">preprocessing/Opn4_bulkRNAseq/S3_Het_dLGN_S2/outputs/40hisat2_mm38_100/mm38_100_genome-paired_gene_sreverse_gene_ID.count.xz</t>
  </si>
  <si>
    <t xml:space="preserve">S3_Het_Ret_S1</t>
  </si>
  <si>
    <t xml:space="preserve">S1</t>
  </si>
  <si>
    <t xml:space="preserve">S3_Het_Ret_S1_R1_001.fastq.gz</t>
  </si>
  <si>
    <t xml:space="preserve">S3_Het_Ret_S1_R2_001.fastq.gz</t>
  </si>
  <si>
    <t xml:space="preserve">preprocessing/Opn4_bulkRNAseq/S3_Het_Ret_S1/outputs/40hisat2_mm38_100/mm38_100_genome-paired_gene_sreverse_gene_ID.count.xz</t>
  </si>
  <si>
    <t xml:space="preserve">S3_Het_SCN_S3</t>
  </si>
  <si>
    <t xml:space="preserve">S3</t>
  </si>
  <si>
    <t xml:space="preserve">S3_Het_SCN_S3_R1_001.fastq.gz</t>
  </si>
  <si>
    <t xml:space="preserve">S3_Het_SCN_S3_R2_001.fastq.gz</t>
  </si>
  <si>
    <t xml:space="preserve">preprocessing/Opn4_bulkRNAseq/S3_Het_SCN_S3/outputs/40hisat2_mm38_100/mm38_100_genome-paired_gene_sreverse_gene_ID.count.xz</t>
  </si>
  <si>
    <t xml:space="preserve">S3_KO_dLGN_S14</t>
  </si>
  <si>
    <t xml:space="preserve">S14</t>
  </si>
  <si>
    <t xml:space="preserve">S3_KO_dLGN_S14_R1_001.fastq.gz</t>
  </si>
  <si>
    <t xml:space="preserve">S3_KO_dLGN_S14_R2_001.fastq.gz</t>
  </si>
  <si>
    <t xml:space="preserve">preprocessing/Opn4_bulkRNAseq/S3_KO_dLGN_S14/outputs/40hisat2_mm38_100/mm38_100_genome-paired_gene_sreverse_gene_ID.count.xz</t>
  </si>
  <si>
    <t xml:space="preserve">S3_KO_Ret_S13</t>
  </si>
  <si>
    <t xml:space="preserve">S13</t>
  </si>
  <si>
    <t xml:space="preserve">S3_KO_Ret_S13_R1_001.fastq.gz</t>
  </si>
  <si>
    <t xml:space="preserve">S3_KO_Ret_S13_R2_001.fastq.gz</t>
  </si>
  <si>
    <t xml:space="preserve">preprocessing/Opn4_bulkRNAseq/S3_KO_Ret_S13/outputs/40hisat2_mm38_100/mm38_100_genome-paired_gene_sreverse_gene_ID.count.xz</t>
  </si>
  <si>
    <t xml:space="preserve">S3_KO_SCN_S15</t>
  </si>
  <si>
    <t xml:space="preserve">S15</t>
  </si>
  <si>
    <t xml:space="preserve">S3_KO_SCN_S15_R1_001.fastq.gz</t>
  </si>
  <si>
    <t xml:space="preserve">S3_KO_SCN_S15_R2_001.fastq.gz</t>
  </si>
  <si>
    <t xml:space="preserve">preprocessing/Opn4_bulkRNAseq/S3_KO_SCN_S15/outputs/40hisat2_mm38_100/mm38_100_genome-paired_gene_sreverse_gene_ID.count.xz</t>
  </si>
  <si>
    <t xml:space="preserve">S4_Het_dLGN_S5</t>
  </si>
  <si>
    <t xml:space="preserve">S5</t>
  </si>
  <si>
    <t xml:space="preserve">S4_Het_dLGN_S5_R1_001.fastq.gz</t>
  </si>
  <si>
    <t xml:space="preserve">S4_Het_dLGN_S5_R2_001.fastq.gz</t>
  </si>
  <si>
    <t xml:space="preserve">preprocessing/Opn4_bulkRNAseq/S4_Het_dLGN_S5/outputs/40hisat2_mm38_100/mm38_100_genome-paired_gene_sreverse_gene_ID.count.xz</t>
  </si>
  <si>
    <t xml:space="preserve">S4_Het_Ret_S4</t>
  </si>
  <si>
    <t xml:space="preserve">S4</t>
  </si>
  <si>
    <t xml:space="preserve">S4_Het_Ret_S4_R1_001.fastq.gz</t>
  </si>
  <si>
    <t xml:space="preserve">S4_Het_Ret_S4_R2_001.fastq.gz</t>
  </si>
  <si>
    <t xml:space="preserve">preprocessing/Opn4_bulkRNAseq/S4_Het_Ret_S4/outputs/40hisat2_mm38_100/mm38_100_genome-paired_gene_sreverse_gene_ID.count.xz</t>
  </si>
  <si>
    <t xml:space="preserve">S4_Het_SCN_S6</t>
  </si>
  <si>
    <t xml:space="preserve">S6</t>
  </si>
  <si>
    <t xml:space="preserve">S4_Het_SCN_S6_R1_001.fastq.gz</t>
  </si>
  <si>
    <t xml:space="preserve">S4_Het_SCN_S6_R2_001.fastq.gz</t>
  </si>
  <si>
    <t xml:space="preserve">preprocessing/Opn4_bulkRNAseq/S4_Het_SCN_S6/outputs/40hisat2_mm38_100/mm38_100_genome-paired_gene_sreverse_gene_ID.count.xz</t>
  </si>
  <si>
    <t xml:space="preserve">S5_Het_dLGN_S17</t>
  </si>
  <si>
    <t xml:space="preserve">S17</t>
  </si>
  <si>
    <t xml:space="preserve">S5_Het_dLGN_S17_R1_001.fastq.gz</t>
  </si>
  <si>
    <t xml:space="preserve">S5_Het_dLGN_S17_R2_001.fastq.gz</t>
  </si>
  <si>
    <t xml:space="preserve">preprocessing/Opn4_bulkRNAseq/S5_Het_dLGN_S17/outputs/40hisat2_mm38_100/mm38_100_genome-paired_gene_sreverse_gene_ID.count.xz</t>
  </si>
  <si>
    <t xml:space="preserve">S5_Het_Ret_S16</t>
  </si>
  <si>
    <t xml:space="preserve">S16</t>
  </si>
  <si>
    <t xml:space="preserve">S5_Het_Ret_S16_R1_001.fastq.gz</t>
  </si>
  <si>
    <t xml:space="preserve">S5_Het_Ret_S16_R2_001.fastq.gz</t>
  </si>
  <si>
    <t xml:space="preserve">preprocessing/Opn4_bulkRNAseq/S5_Het_Ret_S16/outputs/40hisat2_mm38_100/mm38_100_genome-paired_gene_sreverse_gene_ID.count.xz</t>
  </si>
  <si>
    <t xml:space="preserve">S5_Het_SCN_S18</t>
  </si>
  <si>
    <t xml:space="preserve">S18</t>
  </si>
  <si>
    <t xml:space="preserve">S5_Het_SCN_S18_R1_001.fastq.gz</t>
  </si>
  <si>
    <t xml:space="preserve">S5_Het_SCN_S18_R2_001.fastq.gz</t>
  </si>
  <si>
    <t xml:space="preserve">preprocessing/Opn4_bulkRNAseq/S5_Het_SCN_S18/outputs/40hisat2_mm38_100/mm38_100_genome-paired_gene_sreverse_gene_ID.count.xz</t>
  </si>
  <si>
    <t xml:space="preserve">S1_Het_Ret_S1</t>
  </si>
  <si>
    <t xml:space="preserve">Retina_het</t>
  </si>
  <si>
    <t xml:space="preserve">S1_Het_Ret_S1_R1_001.fastq.gz</t>
  </si>
  <si>
    <t xml:space="preserve">S1_Het_Ret_S1_R2_001.fastq.gz</t>
  </si>
  <si>
    <t xml:space="preserve">b202303</t>
  </si>
  <si>
    <t xml:space="preserve">preprocessing/Opn4_bulkRNAseq/S1_Het_Ret_S1/outputs/40hisat2_mm38_100/mm38_100_genome-paired_gene_sreverse_gene_ID.count.xz</t>
  </si>
  <si>
    <t xml:space="preserve">S1_Het_dLGN_S2</t>
  </si>
  <si>
    <t xml:space="preserve">dLGN_het</t>
  </si>
  <si>
    <t xml:space="preserve">S1_Het_dLGN_S2_R1_001.fastq.gz</t>
  </si>
  <si>
    <t xml:space="preserve">S1_Het_dLGN_S2_R2_001.fastq.gz</t>
  </si>
  <si>
    <t xml:space="preserve">preprocessing/Opn4_bulkRNAseq/S1_Het_dLGN_S2/outputs/40hisat2_mm38_100/mm38_100_genome-paired_gene_sreverse_gene_ID.count.xz</t>
  </si>
  <si>
    <t xml:space="preserve">S1_Het_SCN_S3</t>
  </si>
  <si>
    <t xml:space="preserve">SCN_het</t>
  </si>
  <si>
    <t xml:space="preserve">S1_Het_SCN_S3_R1_001.fastq.gz</t>
  </si>
  <si>
    <t xml:space="preserve">S1_Het_SCN_S3_R2_001.fastq.gz</t>
  </si>
  <si>
    <t xml:space="preserve">preprocessing/Opn4_bulkRNAseq/S1_Het_SCN_S3/outputs/40hisat2_mm38_100/mm38_100_genome-paired_gene_sreverse_gene_ID.count.xz</t>
  </si>
  <si>
    <t xml:space="preserve">S2_Het_Ret_S4</t>
  </si>
  <si>
    <t xml:space="preserve">S2_Het_Ret_S4_R1_001.fastq.gz</t>
  </si>
  <si>
    <t xml:space="preserve">S2_Het_Ret_S4_R2_001.fastq.gz</t>
  </si>
  <si>
    <t xml:space="preserve">preprocessing/Opn4_bulkRNAseq/S2_Het_Ret_S4/outputs/40hisat2_mm38_100/mm38_100_genome-paired_gene_sreverse_gene_ID.count.xz</t>
  </si>
  <si>
    <t xml:space="preserve">S2_Het_dLGN_S5</t>
  </si>
  <si>
    <t xml:space="preserve">S2_Het_dLGN_S5_R1_001.fastq.gz</t>
  </si>
  <si>
    <t xml:space="preserve">S2_Het_dLGN_S5_R2_001.fastq.gz</t>
  </si>
  <si>
    <t xml:space="preserve">preprocessing/Opn4_bulkRNAseq/S2_Het_dLGN_S5/outputs/40hisat2_mm38_100/mm38_100_genome-paired_gene_sreverse_gene_ID.count.xz</t>
  </si>
  <si>
    <t xml:space="preserve">S2_Het_SCN_S6</t>
  </si>
  <si>
    <t xml:space="preserve">S2_Het_SCN_S6_R1_001.fastq.gz</t>
  </si>
  <si>
    <t xml:space="preserve">S2_Het_SCN_S6_R2_001.fastq.gz</t>
  </si>
  <si>
    <t xml:space="preserve">preprocessing/Opn4_bulkRNAseq/S2_Het_SCN_S6/outputs/40hisat2_mm38_100/mm38_100_genome-paired_gene_sreverse_gene_ID.count.xz</t>
  </si>
  <si>
    <t xml:space="preserve">S3_Het_Ret_S7</t>
  </si>
  <si>
    <t xml:space="preserve">S3_Het_Ret_S7_R1_001.fastq.gz</t>
  </si>
  <si>
    <t xml:space="preserve">S3_Het_Ret_S7_R2_001.fastq.gz</t>
  </si>
  <si>
    <t xml:space="preserve">preprocessing/Opn4_bulkRNAseq/S3_Het_Ret_S7/outputs/40hisat2_mm38_100/mm38_100_genome-paired_gene_sreverse_gene_ID.count.xz</t>
  </si>
  <si>
    <t xml:space="preserve">S3_Het_dLGN_S8</t>
  </si>
  <si>
    <t xml:space="preserve">S3_Het_dLGN_S8_R1_001.fastq.gz</t>
  </si>
  <si>
    <t xml:space="preserve">S3_Het_dLGN_S8_R2_001.fastq.gz</t>
  </si>
  <si>
    <t xml:space="preserve">preprocessing/Opn4_bulkRNAseq/S3_Het_dLGN_S8/outputs/40hisat2_mm38_100/mm38_100_genome-paired_gene_sreverse_gene_ID.count.xz</t>
  </si>
  <si>
    <t xml:space="preserve">S3_Het_SCN_S9</t>
  </si>
  <si>
    <t xml:space="preserve">S3_Het_SCN_S9_R1_001.fastq.gz</t>
  </si>
  <si>
    <t xml:space="preserve">S3_Het_SCN_S9_R2_001.fastq.gz</t>
  </si>
  <si>
    <t xml:space="preserve">preprocessing/Opn4_bulkRNAseq/S3_Het_SCN_S9/outputs/40hisat2_mm38_100/mm38_100_genome-paired_gene_sreverse_gene_ID.count.xz</t>
  </si>
  <si>
    <t xml:space="preserve">S4_Het_Ret_S10</t>
  </si>
  <si>
    <t xml:space="preserve">S4_Het_Ret_S10_R1_001.fastq.gz</t>
  </si>
  <si>
    <t xml:space="preserve">S4_Het_Ret_S10_R2_001.fastq.gz</t>
  </si>
  <si>
    <t xml:space="preserve">preprocessing/Opn4_bulkRNAseq/S4_Het_Ret_S10/outputs/40hisat2_mm38_100/mm38_100_genome-paired_gene_sreverse_gene_ID.count.xz</t>
  </si>
  <si>
    <t xml:space="preserve">S4_Het_dLGN_S11</t>
  </si>
  <si>
    <t xml:space="preserve">S4_Het_dLGN_S11_R1_001.fastq.gz</t>
  </si>
  <si>
    <t xml:space="preserve">S4_Het_dLGN_S11_R2_001.fastq.gz</t>
  </si>
  <si>
    <t xml:space="preserve">preprocessing/Opn4_bulkRNAseq/S4_Het_dLGN_S11/outputs/40hisat2_mm38_100/mm38_100_genome-paired_gene_sreverse_gene_ID.count.xz</t>
  </si>
  <si>
    <t xml:space="preserve">S4_Het_SCN_S12</t>
  </si>
  <si>
    <t xml:space="preserve">S4_Het_SCN_S12_R1_001.fastq.gz</t>
  </si>
  <si>
    <t xml:space="preserve">preprocessing/Opn4_bulkRNAseq/S4_Het_SCN_S12/outputs/40hisat2_mm38_100/mm38_100_genome-paired_gene_sreverse_gene_ID.count.xz</t>
  </si>
  <si>
    <t xml:space="preserve">S5_Het_Ret_S13</t>
  </si>
  <si>
    <t xml:space="preserve">S5_Het_Ret_S13_R1_001.fastq.gz</t>
  </si>
  <si>
    <t xml:space="preserve">preprocessing/Opn4_bulkRNAseq/S5_Het_Ret_S13/outputs/40hisat2_mm38_100/mm38_100_genome-paired_gene_sreverse_gene_ID.count.xz</t>
  </si>
  <si>
    <t xml:space="preserve">S5_Het_dLGN_S14</t>
  </si>
  <si>
    <t xml:space="preserve">preprocessing/Opn4_bulkRNAseq/S5_Het_dLGN_S14/outputs/40hisat2_mm38_100/mm38_100_genome-paired_gene_sreverse_gene_ID.count.xz</t>
  </si>
  <si>
    <t xml:space="preserve">S5_Het_SCN_S15</t>
  </si>
  <si>
    <t xml:space="preserve">preprocessing/Opn4_bulkRNAseq/S5_Het_SCN_S15/outputs/40hisat2_mm38_100/mm38_100_genome-paired_gene_sreverse_gene_ID.count.xz</t>
  </si>
  <si>
    <t xml:space="preserve">S4_KO_Ret_S16</t>
  </si>
  <si>
    <t xml:space="preserve">Retina_ko</t>
  </si>
  <si>
    <t xml:space="preserve">preprocessing/Opn4_bulkRNAseq/S4_KO_Ret_S16/outputs/40hisat2_mm38_100/mm38_100_genome-paired_gene_sreverse_gene_ID.count.xz</t>
  </si>
  <si>
    <t xml:space="preserve">S4_KO_dLGN_S17</t>
  </si>
  <si>
    <t xml:space="preserve">preprocessing/Opn4_bulkRNAseq/S4_KO_dLGN_S17/outputs/40hisat2_mm38_100/mm38_100_genome-paired_gene_sreverse_gene_ID.count.xz</t>
  </si>
  <si>
    <t xml:space="preserve">S4_KO_SCN_S18</t>
  </si>
  <si>
    <t xml:space="preserve">SCN_ko</t>
  </si>
  <si>
    <t xml:space="preserve">preprocessing/Opn4_bulkRNAseq/S4_KO_SCN_S18/outputs/40hisat2_mm38_100/mm38_100_genome-paired_gene_sreverse_gene_ID.count.xz</t>
  </si>
  <si>
    <t xml:space="preserve">S4_dLGN_WT_S11</t>
  </si>
  <si>
    <t xml:space="preserve">wt</t>
  </si>
  <si>
    <t xml:space="preserve">dLGN_wt</t>
  </si>
  <si>
    <t xml:space="preserve">S4_dLGN_WT_S11_R1_001.fastq.gz</t>
  </si>
  <si>
    <t xml:space="preserve">S4_dLGN_WT_S11_R2_001.fastq.gz</t>
  </si>
  <si>
    <t xml:space="preserve">b202307</t>
  </si>
  <si>
    <t xml:space="preserve">preprocessing_230707/S1_dLGN_Het_S12/outputs/40hisat2_mm38_100/mm38_100_genome-paired_sreverse_gene_ID.count.xz</t>
  </si>
  <si>
    <t xml:space="preserve">preprocessing/preprocessing_230707/S1_dLGN_Het_S12/outputs/40hisat2_mm38_100/mm38_100_genome-paired_sreverse_gene_ID.count.xz</t>
  </si>
  <si>
    <t xml:space="preserve">S4_SCN_WT_S18</t>
  </si>
  <si>
    <t xml:space="preserve">SCN_wt</t>
  </si>
  <si>
    <t xml:space="preserve">S4_SCN_WT_S18_R1_001.fastq.gz</t>
  </si>
  <si>
    <t xml:space="preserve">S4_SCN_WT_S18_R2_001.fastq.gz</t>
  </si>
  <si>
    <t xml:space="preserve">preprocessing/preprocessing_230707/S4_SCN_WT_S18/outputs/40hisat2_mm38_100/mm38_100_genome-paired_sreverse_gene_ID.count.xz</t>
  </si>
  <si>
    <t xml:space="preserve">S4_Ret_WT_S4</t>
  </si>
  <si>
    <t xml:space="preserve">Retina_wt</t>
  </si>
  <si>
    <t xml:space="preserve">S4_Ret_WT_S4_R1_001.fastq.gz</t>
  </si>
  <si>
    <t xml:space="preserve">S4_Ret_WT_S4_R2_001.fastq.gz</t>
  </si>
  <si>
    <t xml:space="preserve">preprocessing/preprocessing_230707/S4_Ret_WT_S4/outputs/40hisat2_mm38_100/mm38_100_genome-paired_sreverse_gene_ID.count.xz</t>
  </si>
  <si>
    <t xml:space="preserve">S3_dLGN_WT_S10</t>
  </si>
  <si>
    <t xml:space="preserve">S3_dLGN_WT_S10_R1_001.fastq.gz</t>
  </si>
  <si>
    <t xml:space="preserve">S3_dLGN_WT_S10_R2_001.fastq.gz</t>
  </si>
  <si>
    <t xml:space="preserve">preprocessing/preprocessing_230707/S3_dLGN_WT_S10/outputs/40hisat2_mm38_100/mm38_100_genome-paired_sreverse_gene_ID.count.xz</t>
  </si>
  <si>
    <t xml:space="preserve">S3_dLGN_Het_S14</t>
  </si>
  <si>
    <t xml:space="preserve">S3_dLGN_Het_S14_R1_001.fastq.gz</t>
  </si>
  <si>
    <t xml:space="preserve">S3_dLGN_Het_S14_R2_001.fastq.gz</t>
  </si>
  <si>
    <t xml:space="preserve">preprocessing/preprocessing_230707/S3_dLGN_Het_S14/outputs/40hisat2_mm38_100/mm38_100_genome-paired_sreverse_gene_ID.count.xz</t>
  </si>
  <si>
    <t xml:space="preserve">S1_dLGN_Het_S12</t>
  </si>
  <si>
    <t xml:space="preserve">S1_dLGN_WT_S8</t>
  </si>
  <si>
    <t xml:space="preserve">preprocessing/preprocessing_230707/S1_dLGN_WT_S8/outputs/40hisat2_mm38_100/mm38_100_genome-paired_sreverse_gene_ID.count.xz</t>
  </si>
  <si>
    <t xml:space="preserve">S1_Ret_Het_S5</t>
  </si>
  <si>
    <t xml:space="preserve">preprocessing/preprocessing_230707/S1_Ret_Het_S5/outputs/40hisat2_mm38_100/mm38_100_genome-paired_sreverse_gene_ID.count.xz</t>
  </si>
  <si>
    <t xml:space="preserve">S1_Ret_WT_S1</t>
  </si>
  <si>
    <t xml:space="preserve">preprocessing/preprocessing_230707/S1_Ret_WT_S1/outputs/40hisat2_mm38_100/mm38_100_genome-paired_sreverse_gene_ID.count.xz</t>
  </si>
  <si>
    <t xml:space="preserve">S1_SCN_Het_S19</t>
  </si>
  <si>
    <t xml:space="preserve">S19</t>
  </si>
  <si>
    <t xml:space="preserve">preprocessing/preprocessing_230707/S1_SCN_Het_S19/outputs/40hisat2_mm38_100/mm38_100_genome-paired_sreverse_gene_ID.count.xz</t>
  </si>
  <si>
    <t xml:space="preserve">S1_SCN_WT_S15</t>
  </si>
  <si>
    <t xml:space="preserve">preprocessing/preprocessing_230707/S1_SCN_WT_S15/outputs/40hisat2_mm38_100/mm38_100_genome-paired_sreverse_gene_ID.count.xz</t>
  </si>
  <si>
    <t xml:space="preserve">S2_dLGN_Het_S13</t>
  </si>
  <si>
    <t xml:space="preserve">preprocessing/preprocessing_230707/S2_dLGN_Het_S13/outputs/40hisat2_mm38_100/mm38_100_genome-paired_sreverse_gene_ID.count.xz</t>
  </si>
  <si>
    <t xml:space="preserve">S2_dLGN_WT_S9</t>
  </si>
  <si>
    <t xml:space="preserve">preprocessing/preprocessing_230707/S2_dLGN_WT_S9/outputs/40hisat2_mm38_100/mm38_100_genome-paired_sreverse_gene_ID.count.xz</t>
  </si>
  <si>
    <t xml:space="preserve">S2_Ret_Het_S6</t>
  </si>
  <si>
    <t xml:space="preserve">preprocessing/preprocessing_230707/S2_Ret_Het_S6/outputs/40hisat2_mm38_100/mm38_100_genome-paired_sreverse_gene_ID.count.xz</t>
  </si>
  <si>
    <t xml:space="preserve">S2_Ret_WT_S2</t>
  </si>
  <si>
    <t xml:space="preserve">preprocessing/preprocessing_230707/S2_Ret_WT_S2/outputs/40hisat2_mm38_100/mm38_100_genome-paired_sreverse_gene_ID.count.xz</t>
  </si>
  <si>
    <t xml:space="preserve">S2_SCN_Het_S20</t>
  </si>
  <si>
    <t xml:space="preserve">S20</t>
  </si>
  <si>
    <t xml:space="preserve">preprocessing/preprocessing_230707/S2_SCN_Het_S20/outputs/40hisat2_mm38_100/mm38_100_genome-paired_sreverse_gene_ID.count.xz</t>
  </si>
  <si>
    <t xml:space="preserve">S2_SCN_WT_S16</t>
  </si>
  <si>
    <t xml:space="preserve">preprocessing/preprocessing_230707/S2_SCN_WT_S16/outputs/40hisat2_mm38_100/mm38_100_genome-paired_sreverse_gene_ID.count.xz</t>
  </si>
  <si>
    <t xml:space="preserve">S3_Ret_Het_S7</t>
  </si>
  <si>
    <t xml:space="preserve">preprocessing/preprocessing_230707/S3_Ret_Het_S7/outputs/40hisat2_mm38_100/mm38_100_genome-paired_sreverse_gene_ID.count.xz</t>
  </si>
  <si>
    <t xml:space="preserve">S3_Ret_WT_S3</t>
  </si>
  <si>
    <t xml:space="preserve">preprocessing/preprocessing_230707/S3_Ret_WT_S3/outputs/40hisat2_mm38_100/mm38_100_genome-paired_sreverse_gene_ID.count.xz</t>
  </si>
  <si>
    <t xml:space="preserve">S3_SCN_Het_S21</t>
  </si>
  <si>
    <t xml:space="preserve">S21</t>
  </si>
  <si>
    <t xml:space="preserve">preprocessing/preprocessing_230707/S3_SCN_Het_S21/outputs/40hisat2_mm38_100/mm38_100_genome-paired_sreverse_gene_ID.count.xz</t>
  </si>
  <si>
    <t xml:space="preserve">S3_SCN_WT_S17</t>
  </si>
  <si>
    <t xml:space="preserve">preprocessing/preprocessing_230707/S3_SCN_WT_S17/outputs/40hisat2_mm38_100/mm38_100_genome-paired_sreverse_gene_ID.count.xz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</si>
</sst>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enlo"/>
      <family val="2"/>
      <charset val="1"/>
    </font>
    <font>
      <sz val="12"/>
      <name val="Arial"/>
      <family val="2"/>
      <charset val="1"/>
    </font>
    <font>
      <sz val="12"/>
      <color rgb="FF000000"/>
      <name val="Menlo"/>
      <family val="2"/>
      <charset val="1"/>
    </font>
    <font>
      <sz val="12"/>
      <color theme="1"/>
      <name val="Arial"/>
      <family val="2"/>
      <charset val="1"/>
    </font>
    <font>
      <sz val="11"/>
      <color rgb="FF3589FF"/>
      <name val="Menlo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58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L58"/>
  <sheetViews>
    <sheetView showFormulas="false" showGridLines="true" showRowColHeaders="true" showZeros="true" rightToLeft="false" tabSelected="true" showOutlineSymbols="true" defaultGridColor="true" view="normal" topLeftCell="P2" colorId="64" zoomScale="124" zoomScaleNormal="124" zoomScalePageLayoutView="100" workbookViewId="0">
      <selection pane="topLeft" activeCell="S2" activeCellId="0" sqref="S2"/>
    </sheetView>
  </sheetViews>
  <sheetFormatPr defaultColWidth="10.625" defaultRowHeight="15.7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34.84"/>
    <col collapsed="false" customWidth="true" hidden="false" outlineLevel="0" max="3" min="3" style="1" width="26.8"/>
    <col collapsed="false" customWidth="true" hidden="false" outlineLevel="0" max="4" min="4" style="1" width="11.84"/>
    <col collapsed="false" customWidth="true" hidden="false" outlineLevel="0" max="5" min="5" style="1" width="38.66"/>
    <col collapsed="false" customWidth="true" hidden="false" outlineLevel="0" max="6" min="6" style="1" width="15.16"/>
    <col collapsed="false" customWidth="true" hidden="false" outlineLevel="0" max="7" min="7" style="1" width="18.34"/>
    <col collapsed="false" customWidth="true" hidden="false" outlineLevel="0" max="9" min="8" style="1" width="26.16"/>
    <col collapsed="false" customWidth="true" hidden="false" outlineLevel="0" max="10" min="10" style="1" width="36"/>
    <col collapsed="false" customWidth="true" hidden="false" outlineLevel="0" max="11" min="11" style="1" width="38.66"/>
    <col collapsed="false" customWidth="true" hidden="false" outlineLevel="0" max="12" min="12" style="1" width="11.33"/>
    <col collapsed="false" customWidth="true" hidden="false" outlineLevel="0" max="13" min="13" style="1" width="16"/>
    <col collapsed="false" customWidth="true" hidden="false" outlineLevel="0" max="14" min="14" style="1" width="13.66"/>
    <col collapsed="false" customWidth="true" hidden="false" outlineLevel="0" max="15" min="15" style="1" width="13.4"/>
    <col collapsed="false" customWidth="true" hidden="false" outlineLevel="0" max="16" min="16" style="1" width="129.66"/>
    <col collapsed="false" customWidth="true" hidden="false" outlineLevel="0" max="18" min="17" style="1" width="67.66"/>
    <col collapsed="false" customWidth="true" hidden="false" outlineLevel="0" max="19" min="19" style="1" width="71.25"/>
    <col collapsed="false" customWidth="true" hidden="false" outlineLevel="0" max="21" min="21" style="1" width="18.66"/>
    <col collapsed="false" customWidth="true" hidden="false" outlineLevel="0" max="22" min="22" style="1" width="21.16"/>
    <col collapsed="false" customWidth="true" hidden="false" outlineLevel="0" max="23" min="23" style="1" width="15"/>
    <col collapsed="false" customWidth="true" hidden="false" outlineLevel="0" max="24" min="24" style="1" width="15.84"/>
    <col collapsed="false" customWidth="true" hidden="false" outlineLevel="0" max="25" min="25" style="1" width="13.34"/>
    <col collapsed="false" customWidth="true" hidden="false" outlineLevel="0" max="28" min="28" style="1" width="13.34"/>
    <col collapsed="false" customWidth="true" hidden="false" outlineLevel="0" max="29" min="29" style="2" width="23.5"/>
    <col collapsed="false" customWidth="true" hidden="false" outlineLevel="0" max="30" min="30" style="1" width="13.8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</row>
    <row r="2" customFormat="false" ht="15.75" hidden="false" customHeight="false" outlineLevel="0" collapsed="false">
      <c r="A2" s="5" t="s">
        <v>30</v>
      </c>
      <c r="B2" s="5" t="s">
        <v>31</v>
      </c>
      <c r="C2" s="3" t="s">
        <v>32</v>
      </c>
      <c r="D2" s="5" t="s">
        <v>33</v>
      </c>
      <c r="E2" s="5" t="s">
        <v>34</v>
      </c>
      <c r="F2" s="3" t="n">
        <v>1</v>
      </c>
      <c r="G2" s="5" t="s">
        <v>35</v>
      </c>
      <c r="H2" s="5" t="s">
        <v>36</v>
      </c>
      <c r="I2" s="5" t="s">
        <v>36</v>
      </c>
      <c r="J2" s="6" t="s">
        <v>37</v>
      </c>
      <c r="K2" s="6" t="s">
        <v>38</v>
      </c>
      <c r="L2" s="5" t="n">
        <v>1</v>
      </c>
      <c r="M2" s="5" t="s">
        <v>39</v>
      </c>
      <c r="N2" s="3"/>
      <c r="O2" s="3"/>
      <c r="P2" s="1" t="str">
        <f aca="false">"Opn4_bulkRNAseq/"&amp;A2&amp;"/outputs/40hisat2_mm38_100/mm38_100_genome-paired_gene_sreverse_gene_ID.count.xz"</f>
        <v>Opn4_bulkRNAseq/S1_KO_dLGN_S8/outputs/40hisat2_mm38_100/mm38_100_genome-paired_gene_sreverse_gene_ID.count.xz</v>
      </c>
      <c r="Q2" s="1" t="s">
        <v>40</v>
      </c>
      <c r="R2" s="3" t="str">
        <f aca="false">"Opn4_bulkRNAseq/"&amp;A2&amp;"_"&amp;B2&amp;"/outputs/45salmon_mm38_100/quant.sf"</f>
        <v>Opn4_bulkRNAseq/S1_KO_dLGN_S8_S8/outputs/45salmon_mm38_100/quant.sf</v>
      </c>
      <c r="S2" s="3" t="str">
        <f aca="false">_xlfn.CONCAT("preprocessing/", A2, "/outputs/45salmon_mm39_116_CDS/quant.sf")</f>
        <v>preprocessing/S1_KO_dLGN_S8/outputs/45salmon_mm39_116_CDS/quant.sf</v>
      </c>
      <c r="T2" s="6" t="n">
        <v>31197816</v>
      </c>
      <c r="U2" s="6" t="n">
        <v>29707899</v>
      </c>
      <c r="V2" s="2" t="n">
        <f aca="false">U2/T2</f>
        <v>0.95224290700349</v>
      </c>
      <c r="W2" s="6" t="n">
        <v>574439</v>
      </c>
      <c r="X2" s="6" t="n">
        <v>461145</v>
      </c>
      <c r="Y2" s="6" t="n">
        <v>454333</v>
      </c>
      <c r="Z2" s="6" t="n">
        <v>25950565</v>
      </c>
      <c r="AA2" s="6" t="n">
        <v>2793453</v>
      </c>
      <c r="AB2" s="2" t="n">
        <f aca="false">(Z2+AA2)/U2</f>
        <v>0.967554723408747</v>
      </c>
      <c r="AC2" s="2" t="n">
        <f aca="false">(Z2+AA2)/T2</f>
        <v>0.921347122503703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</row>
    <row r="3" customFormat="false" ht="15.75" hidden="false" customHeight="false" outlineLevel="0" collapsed="false">
      <c r="A3" s="5" t="s">
        <v>41</v>
      </c>
      <c r="B3" s="5" t="s">
        <v>42</v>
      </c>
      <c r="C3" s="3" t="s">
        <v>32</v>
      </c>
      <c r="D3" s="5" t="s">
        <v>33</v>
      </c>
      <c r="E3" s="5" t="s">
        <v>43</v>
      </c>
      <c r="F3" s="1" t="n">
        <v>1</v>
      </c>
      <c r="G3" s="5" t="s">
        <v>35</v>
      </c>
      <c r="H3" s="5" t="str">
        <f aca="false">E3&amp;"_"&amp;D3</f>
        <v>Retina_ko</v>
      </c>
      <c r="I3" s="5" t="str">
        <f aca="false">G3&amp;"_"&amp;E3</f>
        <v>p08_Retina</v>
      </c>
      <c r="J3" s="6" t="s">
        <v>44</v>
      </c>
      <c r="K3" s="6" t="s">
        <v>45</v>
      </c>
      <c r="L3" s="5" t="n">
        <v>1</v>
      </c>
      <c r="M3" s="5" t="s">
        <v>39</v>
      </c>
      <c r="P3" s="1" t="str">
        <f aca="false">"Opn4_bulkRNAseq/"&amp;A3&amp;"/outputs/40hisat2_mm38_100/mm38_100_genome-paired_gene_sreverse_gene_ID.count.xz"</f>
        <v>Opn4_bulkRNAseq/S1_KO_Ret_S7/outputs/40hisat2_mm38_100/mm38_100_genome-paired_gene_sreverse_gene_ID.count.xz</v>
      </c>
      <c r="Q3" s="1" t="s">
        <v>46</v>
      </c>
      <c r="R3" s="3" t="str">
        <f aca="false">"Opn4_bulkRNAseq/"&amp;A3&amp;"_"&amp;B3&amp;"/outputs/45salmon_mm38_100/quant.sf"</f>
        <v>Opn4_bulkRNAseq/S1_KO_Ret_S7_S7/outputs/45salmon_mm38_100/quant.sf</v>
      </c>
      <c r="S3" s="3" t="str">
        <f aca="false">_xlfn.CONCAT("preprocessing/", A3, "/outputs/45salmon_mm39_116_CDS/quant.sf")</f>
        <v>preprocessing/S1_KO_Ret_S7/outputs/45salmon_mm39_116_CDS/quant.sf</v>
      </c>
      <c r="T3" s="6" t="n">
        <v>37553854</v>
      </c>
      <c r="U3" s="6" t="n">
        <v>35815887</v>
      </c>
      <c r="V3" s="2" t="n">
        <f aca="false">U3/T3</f>
        <v>0.953720675379949</v>
      </c>
      <c r="W3" s="6" t="n">
        <v>695446</v>
      </c>
      <c r="X3" s="6" t="n">
        <v>532884</v>
      </c>
      <c r="Y3" s="6" t="n">
        <v>509637</v>
      </c>
      <c r="Z3" s="6" t="n">
        <v>32700685</v>
      </c>
      <c r="AA3" s="6" t="n">
        <v>2436162</v>
      </c>
      <c r="AB3" s="2" t="n">
        <f aca="false">(Z3+AA3)/U3</f>
        <v>0.981040815769829</v>
      </c>
      <c r="AC3" s="2" t="n">
        <f aca="false">(Z3+AA3)/T3</f>
        <v>0.935638909391297</v>
      </c>
    </row>
    <row r="4" customFormat="false" ht="15.75" hidden="false" customHeight="false" outlineLevel="0" collapsed="false">
      <c r="A4" s="5" t="s">
        <v>47</v>
      </c>
      <c r="B4" s="5" t="s">
        <v>48</v>
      </c>
      <c r="C4" s="3" t="s">
        <v>32</v>
      </c>
      <c r="D4" s="5" t="s">
        <v>33</v>
      </c>
      <c r="E4" s="5" t="s">
        <v>49</v>
      </c>
      <c r="F4" s="1" t="n">
        <v>1</v>
      </c>
      <c r="G4" s="5" t="s">
        <v>35</v>
      </c>
      <c r="H4" s="5" t="str">
        <f aca="false">E4&amp;"_"&amp;D4</f>
        <v>SCN_ko</v>
      </c>
      <c r="I4" s="5" t="str">
        <f aca="false">G4&amp;"_"&amp;E4</f>
        <v>p08_SCN</v>
      </c>
      <c r="J4" s="6" t="s">
        <v>50</v>
      </c>
      <c r="K4" s="6" t="s">
        <v>51</v>
      </c>
      <c r="L4" s="5" t="n">
        <v>1</v>
      </c>
      <c r="M4" s="5" t="s">
        <v>39</v>
      </c>
      <c r="P4" s="1" t="str">
        <f aca="false">"Opn4_bulkRNAseq/"&amp;A4&amp;"/outputs/40hisat2_mm38_100/mm38_100_genome-paired_gene_sreverse_gene_ID.count.xz"</f>
        <v>Opn4_bulkRNAseq/S1_KO_SCN_S9/outputs/40hisat2_mm38_100/mm38_100_genome-paired_gene_sreverse_gene_ID.count.xz</v>
      </c>
      <c r="Q4" s="1" t="s">
        <v>52</v>
      </c>
      <c r="R4" s="3" t="str">
        <f aca="false">"Opn4_bulkRNAseq/"&amp;A4&amp;"_"&amp;B4&amp;"/outputs/45salmon_mm38_100/quant.sf"</f>
        <v>Opn4_bulkRNAseq/S1_KO_SCN_S9_S9/outputs/45salmon_mm38_100/quant.sf</v>
      </c>
      <c r="S4" s="3" t="str">
        <f aca="false">_xlfn.CONCAT("preprocessing/", A4, "/outputs/45salmon_mm39_116_CDS/quant.sf")</f>
        <v>preprocessing/S1_KO_SCN_S9/outputs/45salmon_mm39_116_CDS/quant.sf</v>
      </c>
      <c r="T4" s="6" t="n">
        <v>30353333</v>
      </c>
      <c r="U4" s="6" t="n">
        <v>28907049</v>
      </c>
      <c r="V4" s="2" t="n">
        <f aca="false">U4/T4</f>
        <v>0.952351723614669</v>
      </c>
      <c r="W4" s="6" t="n">
        <v>575009</v>
      </c>
      <c r="X4" s="6" t="n">
        <v>436235</v>
      </c>
      <c r="Y4" s="6" t="n">
        <v>435040</v>
      </c>
      <c r="Z4" s="6" t="n">
        <v>25535283</v>
      </c>
      <c r="AA4" s="6" t="n">
        <v>2746343</v>
      </c>
      <c r="AB4" s="2" t="n">
        <f aca="false">(Z4+AA4)/U4</f>
        <v>0.978364342897817</v>
      </c>
      <c r="AC4" s="2" t="n">
        <f aca="false">(Z4+AA4)/T4</f>
        <v>0.931746968281869</v>
      </c>
    </row>
    <row r="5" customFormat="false" ht="15.75" hidden="false" customHeight="false" outlineLevel="0" collapsed="false">
      <c r="A5" s="5" t="s">
        <v>53</v>
      </c>
      <c r="B5" s="5" t="s">
        <v>54</v>
      </c>
      <c r="C5" s="3" t="s">
        <v>32</v>
      </c>
      <c r="D5" s="5" t="s">
        <v>33</v>
      </c>
      <c r="E5" s="5" t="s">
        <v>34</v>
      </c>
      <c r="F5" s="1" t="n">
        <v>2</v>
      </c>
      <c r="G5" s="5" t="s">
        <v>35</v>
      </c>
      <c r="H5" s="5" t="str">
        <f aca="false">E5&amp;"_"&amp;D5</f>
        <v>dLGN_ko</v>
      </c>
      <c r="I5" s="5" t="str">
        <f aca="false">G5&amp;"_"&amp;E5</f>
        <v>p08_dLGN</v>
      </c>
      <c r="J5" s="6" t="s">
        <v>55</v>
      </c>
      <c r="K5" s="6" t="s">
        <v>56</v>
      </c>
      <c r="L5" s="5" t="n">
        <v>1</v>
      </c>
      <c r="M5" s="5" t="s">
        <v>39</v>
      </c>
      <c r="P5" s="1" t="str">
        <f aca="false">"Opn4_bulkRNAseq/"&amp;A5&amp;"/outputs/40hisat2_mm38_100/mm38_100_genome-paired_gene_sreverse_gene_ID.count.xz"</f>
        <v>Opn4_bulkRNAseq/S2_KO_dLGN_S11/outputs/40hisat2_mm38_100/mm38_100_genome-paired_gene_sreverse_gene_ID.count.xz</v>
      </c>
      <c r="Q5" s="1" t="s">
        <v>57</v>
      </c>
      <c r="R5" s="3" t="str">
        <f aca="false">"Opn4_bulkRNAseq/"&amp;A5&amp;"_"&amp;B5&amp;"/outputs/45salmon_mm38_100/quant.sf"</f>
        <v>Opn4_bulkRNAseq/S2_KO_dLGN_S11_S11/outputs/45salmon_mm38_100/quant.sf</v>
      </c>
      <c r="S5" s="3" t="str">
        <f aca="false">_xlfn.CONCAT("preprocessing/", A5, "/outputs/45salmon_mm39_116_CDS/quant.sf")</f>
        <v>preprocessing/S2_KO_dLGN_S11/outputs/45salmon_mm39_116_CDS/quant.sf</v>
      </c>
      <c r="T5" s="6" t="n">
        <v>28920226</v>
      </c>
      <c r="U5" s="6" t="n">
        <v>27634102</v>
      </c>
      <c r="V5" s="2" t="n">
        <f aca="false">U5/T5</f>
        <v>0.955528563296843</v>
      </c>
      <c r="W5" s="6" t="n">
        <v>522176</v>
      </c>
      <c r="X5" s="6" t="n">
        <v>419120</v>
      </c>
      <c r="Y5" s="6" t="n">
        <v>344828</v>
      </c>
      <c r="Z5" s="6" t="n">
        <v>24370241</v>
      </c>
      <c r="AA5" s="6" t="n">
        <v>2647160</v>
      </c>
      <c r="AB5" s="2" t="n">
        <f aca="false">(Z5+AA5)/U5</f>
        <v>0.977683334888176</v>
      </c>
      <c r="AC5" s="2" t="n">
        <f aca="false">(Z5+AA5)/T5</f>
        <v>0.934204352344964</v>
      </c>
    </row>
    <row r="6" customFormat="false" ht="15.75" hidden="false" customHeight="false" outlineLevel="0" collapsed="false">
      <c r="A6" s="5" t="s">
        <v>58</v>
      </c>
      <c r="B6" s="5" t="s">
        <v>59</v>
      </c>
      <c r="C6" s="3" t="s">
        <v>32</v>
      </c>
      <c r="D6" s="5" t="s">
        <v>33</v>
      </c>
      <c r="E6" s="5" t="s">
        <v>43</v>
      </c>
      <c r="F6" s="1" t="n">
        <v>2</v>
      </c>
      <c r="G6" s="5" t="s">
        <v>35</v>
      </c>
      <c r="H6" s="5" t="str">
        <f aca="false">E6&amp;"_"&amp;D6</f>
        <v>Retina_ko</v>
      </c>
      <c r="I6" s="5" t="str">
        <f aca="false">G6&amp;"_"&amp;E6</f>
        <v>p08_Retina</v>
      </c>
      <c r="J6" s="6" t="s">
        <v>60</v>
      </c>
      <c r="K6" s="6" t="s">
        <v>61</v>
      </c>
      <c r="L6" s="5" t="n">
        <v>1</v>
      </c>
      <c r="M6" s="5" t="s">
        <v>39</v>
      </c>
      <c r="P6" s="1" t="str">
        <f aca="false">"Opn4_bulkRNAseq/"&amp;A6&amp;"/outputs/40hisat2_mm38_100/mm38_100_genome-paired_gene_sreverse_gene_ID.count.xz"</f>
        <v>Opn4_bulkRNAseq/S2_KO_Ret_S10/outputs/40hisat2_mm38_100/mm38_100_genome-paired_gene_sreverse_gene_ID.count.xz</v>
      </c>
      <c r="Q6" s="1" t="s">
        <v>62</v>
      </c>
      <c r="R6" s="3" t="str">
        <f aca="false">"Opn4_bulkRNAseq/"&amp;A6&amp;"_"&amp;B6&amp;"/outputs/45salmon_mm38_100/quant.sf"</f>
        <v>Opn4_bulkRNAseq/S2_KO_Ret_S10_S10/outputs/45salmon_mm38_100/quant.sf</v>
      </c>
      <c r="S6" s="3" t="str">
        <f aca="false">_xlfn.CONCAT("preprocessing/", A6, "/outputs/45salmon_mm39_116_CDS/quant.sf")</f>
        <v>preprocessing/S2_KO_Ret_S10/outputs/45salmon_mm39_116_CDS/quant.sf</v>
      </c>
      <c r="T6" s="6" t="n">
        <v>31912062</v>
      </c>
      <c r="U6" s="6" t="n">
        <v>30470517</v>
      </c>
      <c r="V6" s="2" t="n">
        <f aca="false">U6/T6</f>
        <v>0.954827582122396</v>
      </c>
      <c r="W6" s="6" t="n">
        <v>599304</v>
      </c>
      <c r="X6" s="6" t="n">
        <v>448165</v>
      </c>
      <c r="Y6" s="6" t="n">
        <v>394076</v>
      </c>
      <c r="Z6" s="6" t="n">
        <v>27768098</v>
      </c>
      <c r="AA6" s="6" t="n">
        <v>2124413</v>
      </c>
      <c r="AB6" s="2" t="n">
        <f aca="false">(Z6+AA6)/U6</f>
        <v>0.981030646772419</v>
      </c>
      <c r="AC6" s="2" t="n">
        <f aca="false">(Z6+AA6)/T6</f>
        <v>0.93671512044568</v>
      </c>
    </row>
    <row r="7" customFormat="false" ht="15.75" hidden="false" customHeight="false" outlineLevel="0" collapsed="false">
      <c r="A7" s="5" t="s">
        <v>63</v>
      </c>
      <c r="B7" s="5" t="s">
        <v>64</v>
      </c>
      <c r="C7" s="3" t="s">
        <v>32</v>
      </c>
      <c r="D7" s="5" t="s">
        <v>33</v>
      </c>
      <c r="E7" s="5" t="s">
        <v>49</v>
      </c>
      <c r="F7" s="1" t="n">
        <v>2</v>
      </c>
      <c r="G7" s="5" t="s">
        <v>35</v>
      </c>
      <c r="H7" s="5" t="str">
        <f aca="false">E7&amp;"_"&amp;D7</f>
        <v>SCN_ko</v>
      </c>
      <c r="I7" s="5" t="str">
        <f aca="false">G7&amp;"_"&amp;E7</f>
        <v>p08_SCN</v>
      </c>
      <c r="J7" s="6" t="s">
        <v>65</v>
      </c>
      <c r="K7" s="6" t="s">
        <v>66</v>
      </c>
      <c r="L7" s="5" t="n">
        <v>1</v>
      </c>
      <c r="M7" s="5" t="s">
        <v>39</v>
      </c>
      <c r="P7" s="1" t="str">
        <f aca="false">"Opn4_bulkRNAseq/"&amp;A7&amp;"/outputs/40hisat2_mm38_100/mm38_100_genome-paired_gene_sreverse_gene_ID.count.xz"</f>
        <v>Opn4_bulkRNAseq/S2_KO_SCN_S12/outputs/40hisat2_mm38_100/mm38_100_genome-paired_gene_sreverse_gene_ID.count.xz</v>
      </c>
      <c r="Q7" s="1" t="s">
        <v>67</v>
      </c>
      <c r="R7" s="3" t="str">
        <f aca="false">"Opn4_bulkRNAseq/"&amp;A7&amp;"_"&amp;B7&amp;"/outputs/45salmon_mm38_100/quant.sf"</f>
        <v>Opn4_bulkRNAseq/S2_KO_SCN_S12_S12/outputs/45salmon_mm38_100/quant.sf</v>
      </c>
      <c r="S7" s="3" t="str">
        <f aca="false">_xlfn.CONCAT("preprocessing/", A7, "/outputs/45salmon_mm39_116_CDS/quant.sf")</f>
        <v>preprocessing/S2_KO_SCN_S12/outputs/45salmon_mm39_116_CDS/quant.sf</v>
      </c>
      <c r="T7" s="6" t="n">
        <v>35001763</v>
      </c>
      <c r="U7" s="6" t="n">
        <v>33443661</v>
      </c>
      <c r="V7" s="2" t="n">
        <f aca="false">U7/T7</f>
        <v>0.955485042282013</v>
      </c>
      <c r="W7" s="6" t="n">
        <v>608092</v>
      </c>
      <c r="X7" s="6" t="n">
        <v>511524</v>
      </c>
      <c r="Y7" s="6" t="n">
        <v>438486</v>
      </c>
      <c r="Z7" s="6" t="n">
        <v>29219546</v>
      </c>
      <c r="AA7" s="6" t="n">
        <v>3435284</v>
      </c>
      <c r="AB7" s="2" t="n">
        <f aca="false">(Z7+AA7)/U7</f>
        <v>0.976413138501793</v>
      </c>
      <c r="AC7" s="2" t="n">
        <f aca="false">(Z7+AA7)/T7</f>
        <v>0.932948148926098</v>
      </c>
    </row>
    <row r="8" customFormat="false" ht="15.75" hidden="false" customHeight="false" outlineLevel="0" collapsed="false">
      <c r="A8" s="5" t="s">
        <v>68</v>
      </c>
      <c r="B8" s="5" t="s">
        <v>69</v>
      </c>
      <c r="C8" s="3" t="s">
        <v>70</v>
      </c>
      <c r="D8" s="5" t="s">
        <v>71</v>
      </c>
      <c r="E8" s="5" t="s">
        <v>34</v>
      </c>
      <c r="F8" s="1" t="n">
        <v>1</v>
      </c>
      <c r="G8" s="5" t="s">
        <v>35</v>
      </c>
      <c r="H8" s="5" t="str">
        <f aca="false">E8&amp;"_"&amp;D8</f>
        <v>dLGN_het</v>
      </c>
      <c r="I8" s="5" t="str">
        <f aca="false">G8&amp;"_"&amp;E8</f>
        <v>p08_dLGN</v>
      </c>
      <c r="J8" s="6" t="s">
        <v>72</v>
      </c>
      <c r="K8" s="6" t="s">
        <v>73</v>
      </c>
      <c r="L8" s="5" t="n">
        <v>1</v>
      </c>
      <c r="M8" s="5" t="s">
        <v>39</v>
      </c>
      <c r="P8" s="1" t="str">
        <f aca="false">"Opn4_bulkRNAseq/"&amp;A8&amp;"/outputs/40hisat2_mm38_100/mm38_100_genome-paired_gene_sreverse_gene_ID.count.xz"</f>
        <v>Opn4_bulkRNAseq/S3_Het_dLGN_S2/outputs/40hisat2_mm38_100/mm38_100_genome-paired_gene_sreverse_gene_ID.count.xz</v>
      </c>
      <c r="Q8" s="1" t="s">
        <v>74</v>
      </c>
      <c r="R8" s="3" t="str">
        <f aca="false">"Opn4_bulkRNAseq/"&amp;A8&amp;"_"&amp;B8&amp;"/outputs/45salmon_mm38_100/quant.sf"</f>
        <v>Opn4_bulkRNAseq/S3_Het_dLGN_S2_S2/outputs/45salmon_mm38_100/quant.sf</v>
      </c>
      <c r="S8" s="3" t="str">
        <f aca="false">_xlfn.CONCAT("preprocessing/", A8, "/outputs/45salmon_mm39_116_CDS/quant.sf")</f>
        <v>preprocessing/S3_Het_dLGN_S2/outputs/45salmon_mm39_116_CDS/quant.sf</v>
      </c>
      <c r="T8" s="6" t="n">
        <v>26775961</v>
      </c>
      <c r="U8" s="6" t="n">
        <v>24963600</v>
      </c>
      <c r="V8" s="2" t="n">
        <f aca="false">U8/T8</f>
        <v>0.932313876614923</v>
      </c>
      <c r="W8" s="6" t="n">
        <v>610240</v>
      </c>
      <c r="X8" s="6" t="n">
        <v>504416</v>
      </c>
      <c r="Y8" s="6" t="n">
        <v>697705</v>
      </c>
      <c r="Z8" s="6" t="n">
        <v>20066665</v>
      </c>
      <c r="AA8" s="6" t="n">
        <v>3586209</v>
      </c>
      <c r="AB8" s="2" t="n">
        <f aca="false">(Z8+AA8)/U8</f>
        <v>0.947494512009486</v>
      </c>
      <c r="AC8" s="2" t="n">
        <f aca="false">(Z8+AA8)/T8</f>
        <v>0.883362281562929</v>
      </c>
    </row>
    <row r="9" customFormat="false" ht="15.75" hidden="false" customHeight="false" outlineLevel="0" collapsed="false">
      <c r="A9" s="5" t="s">
        <v>75</v>
      </c>
      <c r="B9" s="5" t="s">
        <v>76</v>
      </c>
      <c r="C9" s="3" t="s">
        <v>70</v>
      </c>
      <c r="D9" s="5" t="s">
        <v>71</v>
      </c>
      <c r="E9" s="5" t="s">
        <v>43</v>
      </c>
      <c r="F9" s="1" t="n">
        <v>1</v>
      </c>
      <c r="G9" s="5" t="s">
        <v>35</v>
      </c>
      <c r="H9" s="5" t="str">
        <f aca="false">E9&amp;"_"&amp;D9</f>
        <v>Retina_het</v>
      </c>
      <c r="I9" s="5" t="str">
        <f aca="false">G9&amp;"_"&amp;E9</f>
        <v>p08_Retina</v>
      </c>
      <c r="J9" s="6" t="s">
        <v>77</v>
      </c>
      <c r="K9" s="6" t="s">
        <v>78</v>
      </c>
      <c r="L9" s="5" t="n">
        <v>1</v>
      </c>
      <c r="M9" s="5" t="s">
        <v>39</v>
      </c>
      <c r="P9" s="1" t="str">
        <f aca="false">"Opn4_bulkRNAseq/"&amp;A9&amp;"/outputs/40hisat2_mm38_100/mm38_100_genome-paired_gene_sreverse_gene_ID.count.xz"</f>
        <v>Opn4_bulkRNAseq/S3_Het_Ret_S1/outputs/40hisat2_mm38_100/mm38_100_genome-paired_gene_sreverse_gene_ID.count.xz</v>
      </c>
      <c r="Q9" s="1" t="s">
        <v>79</v>
      </c>
      <c r="R9" s="3" t="str">
        <f aca="false">"Opn4_bulkRNAseq/"&amp;A9&amp;"_"&amp;B9&amp;"/outputs/45salmon_mm38_100/quant.sf"</f>
        <v>Opn4_bulkRNAseq/S3_Het_Ret_S1_S1/outputs/45salmon_mm38_100/quant.sf</v>
      </c>
      <c r="S9" s="3" t="str">
        <f aca="false">_xlfn.CONCAT("preprocessing/", A9, "/outputs/45salmon_mm39_116_CDS/quant.sf")</f>
        <v>preprocessing/S3_Het_Ret_S1/outputs/45salmon_mm39_116_CDS/quant.sf</v>
      </c>
      <c r="T9" s="6" t="n">
        <v>27060143</v>
      </c>
      <c r="U9" s="6" t="n">
        <v>25787541</v>
      </c>
      <c r="V9" s="2" t="n">
        <f aca="false">U9/T9</f>
        <v>0.952971349781855</v>
      </c>
      <c r="W9" s="6" t="n">
        <v>560380</v>
      </c>
      <c r="X9" s="6" t="n">
        <v>351287</v>
      </c>
      <c r="Y9" s="6" t="n">
        <v>360935</v>
      </c>
      <c r="Z9" s="6" t="n">
        <v>23065904</v>
      </c>
      <c r="AA9" s="6" t="n">
        <v>2146378</v>
      </c>
      <c r="AB9" s="2" t="n">
        <f aca="false">(Z9+AA9)/U9</f>
        <v>0.977692367023285</v>
      </c>
      <c r="AC9" s="2" t="n">
        <f aca="false">(Z9+AA9)/T9</f>
        <v>0.931712814673596</v>
      </c>
    </row>
    <row r="10" customFormat="false" ht="15.75" hidden="false" customHeight="false" outlineLevel="0" collapsed="false">
      <c r="A10" s="5" t="s">
        <v>80</v>
      </c>
      <c r="B10" s="5" t="s">
        <v>81</v>
      </c>
      <c r="C10" s="3" t="s">
        <v>70</v>
      </c>
      <c r="D10" s="5" t="s">
        <v>71</v>
      </c>
      <c r="E10" s="5" t="s">
        <v>49</v>
      </c>
      <c r="F10" s="1" t="n">
        <v>1</v>
      </c>
      <c r="G10" s="5" t="s">
        <v>35</v>
      </c>
      <c r="H10" s="5" t="str">
        <f aca="false">E10&amp;"_"&amp;D10</f>
        <v>SCN_het</v>
      </c>
      <c r="I10" s="5" t="str">
        <f aca="false">G10&amp;"_"&amp;E10</f>
        <v>p08_SCN</v>
      </c>
      <c r="J10" s="6" t="s">
        <v>82</v>
      </c>
      <c r="K10" s="6" t="s">
        <v>83</v>
      </c>
      <c r="L10" s="5" t="n">
        <v>1</v>
      </c>
      <c r="M10" s="5" t="s">
        <v>39</v>
      </c>
      <c r="P10" s="1" t="str">
        <f aca="false">"Opn4_bulkRNAseq/"&amp;A10&amp;"/outputs/40hisat2_mm38_100/mm38_100_genome-paired_gene_sreverse_gene_ID.count.xz"</f>
        <v>Opn4_bulkRNAseq/S3_Het_SCN_S3/outputs/40hisat2_mm38_100/mm38_100_genome-paired_gene_sreverse_gene_ID.count.xz</v>
      </c>
      <c r="Q10" s="1" t="s">
        <v>84</v>
      </c>
      <c r="R10" s="3" t="str">
        <f aca="false">"Opn4_bulkRNAseq/"&amp;A10&amp;"_"&amp;B10&amp;"/outputs/45salmon_mm38_100/quant.sf"</f>
        <v>Opn4_bulkRNAseq/S3_Het_SCN_S3_S3/outputs/45salmon_mm38_100/quant.sf</v>
      </c>
      <c r="S10" s="3" t="str">
        <f aca="false">_xlfn.CONCAT("preprocessing/", A10, "/outputs/45salmon_mm39_116_CDS/quant.sf")</f>
        <v>preprocessing/S3_Het_SCN_S3/outputs/45salmon_mm39_116_CDS/quant.sf</v>
      </c>
      <c r="T10" s="6" t="n">
        <v>24577482</v>
      </c>
      <c r="U10" s="6" t="n">
        <v>23351833</v>
      </c>
      <c r="V10" s="2" t="n">
        <f aca="false">U10/T10</f>
        <v>0.950131221741918</v>
      </c>
      <c r="W10" s="6" t="n">
        <v>403934</v>
      </c>
      <c r="X10" s="6" t="n">
        <v>439804</v>
      </c>
      <c r="Y10" s="6" t="n">
        <v>381911</v>
      </c>
      <c r="Z10" s="6" t="n">
        <v>19563081</v>
      </c>
      <c r="AA10" s="6" t="n">
        <v>3064323</v>
      </c>
      <c r="AB10" s="2" t="n">
        <f aca="false">(Z10+AA10)/U10</f>
        <v>0.9689776387147</v>
      </c>
      <c r="AC10" s="2" t="n">
        <f aca="false">(Z10+AA10)/T10</f>
        <v>0.920655907712596</v>
      </c>
    </row>
    <row r="11" customFormat="false" ht="15.75" hidden="false" customHeight="false" outlineLevel="0" collapsed="false">
      <c r="A11" s="5" t="s">
        <v>85</v>
      </c>
      <c r="B11" s="5" t="s">
        <v>86</v>
      </c>
      <c r="C11" s="3" t="s">
        <v>32</v>
      </c>
      <c r="D11" s="5" t="s">
        <v>33</v>
      </c>
      <c r="E11" s="5" t="s">
        <v>34</v>
      </c>
      <c r="F11" s="1" t="n">
        <v>3</v>
      </c>
      <c r="G11" s="5" t="s">
        <v>35</v>
      </c>
      <c r="H11" s="5" t="str">
        <f aca="false">E11&amp;"_"&amp;D11</f>
        <v>dLGN_ko</v>
      </c>
      <c r="I11" s="5" t="str">
        <f aca="false">G11&amp;"_"&amp;E11</f>
        <v>p08_dLGN</v>
      </c>
      <c r="J11" s="6" t="s">
        <v>87</v>
      </c>
      <c r="K11" s="6" t="s">
        <v>88</v>
      </c>
      <c r="L11" s="5" t="n">
        <v>1</v>
      </c>
      <c r="M11" s="5" t="s">
        <v>39</v>
      </c>
      <c r="P11" s="1" t="str">
        <f aca="false">"Opn4_bulkRNAseq/"&amp;A11&amp;"/outputs/40hisat2_mm38_100/mm38_100_genome-paired_gene_sreverse_gene_ID.count.xz"</f>
        <v>Opn4_bulkRNAseq/S3_KO_dLGN_S14/outputs/40hisat2_mm38_100/mm38_100_genome-paired_gene_sreverse_gene_ID.count.xz</v>
      </c>
      <c r="Q11" s="1" t="s">
        <v>89</v>
      </c>
      <c r="R11" s="3" t="str">
        <f aca="false">"Opn4_bulkRNAseq/"&amp;A11&amp;"_"&amp;B11&amp;"/outputs/45salmon_mm38_100/quant.sf"</f>
        <v>Opn4_bulkRNAseq/S3_KO_dLGN_S14_S14/outputs/45salmon_mm38_100/quant.sf</v>
      </c>
      <c r="S11" s="3" t="str">
        <f aca="false">_xlfn.CONCAT("preprocessing/", A11, "/outputs/45salmon_mm39_116_CDS/quant.sf")</f>
        <v>preprocessing/S3_KO_dLGN_S14/outputs/45salmon_mm39_116_CDS/quant.sf</v>
      </c>
      <c r="T11" s="6" t="n">
        <v>31817618</v>
      </c>
      <c r="U11" s="6" t="n">
        <v>30324133</v>
      </c>
      <c r="V11" s="2" t="n">
        <f aca="false">U11/T11</f>
        <v>0.953061068242129</v>
      </c>
      <c r="W11" s="6" t="n">
        <v>566295</v>
      </c>
      <c r="X11" s="6" t="n">
        <v>479228</v>
      </c>
      <c r="Y11" s="6" t="n">
        <v>447962</v>
      </c>
      <c r="Z11" s="6" t="n">
        <v>26835877</v>
      </c>
      <c r="AA11" s="6" t="n">
        <v>2847938</v>
      </c>
      <c r="AB11" s="2" t="n">
        <f aca="false">(Z11+AA11)/U11</f>
        <v>0.978884210803323</v>
      </c>
      <c r="AC11" s="2" t="n">
        <f aca="false">(Z11+AA11)/T11</f>
        <v>0.932936431633569</v>
      </c>
    </row>
    <row r="12" customFormat="false" ht="15.75" hidden="false" customHeight="false" outlineLevel="0" collapsed="false">
      <c r="A12" s="5" t="s">
        <v>90</v>
      </c>
      <c r="B12" s="5" t="s">
        <v>91</v>
      </c>
      <c r="C12" s="3" t="s">
        <v>32</v>
      </c>
      <c r="D12" s="5" t="s">
        <v>33</v>
      </c>
      <c r="E12" s="5" t="s">
        <v>43</v>
      </c>
      <c r="F12" s="1" t="n">
        <v>3</v>
      </c>
      <c r="G12" s="5" t="s">
        <v>35</v>
      </c>
      <c r="H12" s="5" t="str">
        <f aca="false">E12&amp;"_"&amp;D12</f>
        <v>Retina_ko</v>
      </c>
      <c r="I12" s="5" t="str">
        <f aca="false">G12&amp;"_"&amp;E12</f>
        <v>p08_Retina</v>
      </c>
      <c r="J12" s="6" t="s">
        <v>92</v>
      </c>
      <c r="K12" s="6" t="s">
        <v>93</v>
      </c>
      <c r="L12" s="5" t="n">
        <v>1</v>
      </c>
      <c r="M12" s="5" t="s">
        <v>39</v>
      </c>
      <c r="P12" s="1" t="str">
        <f aca="false">"Opn4_bulkRNAseq/"&amp;A12&amp;"/outputs/40hisat2_mm38_100/mm38_100_genome-paired_gene_sreverse_gene_ID.count.xz"</f>
        <v>Opn4_bulkRNAseq/S3_KO_Ret_S13/outputs/40hisat2_mm38_100/mm38_100_genome-paired_gene_sreverse_gene_ID.count.xz</v>
      </c>
      <c r="Q12" s="1" t="s">
        <v>94</v>
      </c>
      <c r="R12" s="3" t="str">
        <f aca="false">"Opn4_bulkRNAseq/"&amp;A12&amp;"_"&amp;B12&amp;"/outputs/45salmon_mm38_100/quant.sf"</f>
        <v>Opn4_bulkRNAseq/S3_KO_Ret_S13_S13/outputs/45salmon_mm38_100/quant.sf</v>
      </c>
      <c r="S12" s="3" t="str">
        <f aca="false">_xlfn.CONCAT("preprocessing/", A12, "/outputs/45salmon_mm39_116_CDS/quant.sf")</f>
        <v>preprocessing/S3_KO_Ret_S13/outputs/45salmon_mm39_116_CDS/quant.sf</v>
      </c>
      <c r="T12" s="6" t="n">
        <v>28023600</v>
      </c>
      <c r="U12" s="6" t="n">
        <v>26730856</v>
      </c>
      <c r="V12" s="2" t="n">
        <f aca="false">U12/T12</f>
        <v>0.953869452889707</v>
      </c>
      <c r="W12" s="6" t="n">
        <v>507145</v>
      </c>
      <c r="X12" s="6" t="n">
        <v>397703</v>
      </c>
      <c r="Y12" s="6" t="n">
        <v>387896</v>
      </c>
      <c r="Z12" s="6" t="n">
        <v>24243923</v>
      </c>
      <c r="AA12" s="6" t="n">
        <v>2022452</v>
      </c>
      <c r="AB12" s="2" t="n">
        <f aca="false">(Z12+AA12)/U12</f>
        <v>0.982623788778032</v>
      </c>
      <c r="AC12" s="2" t="n">
        <f aca="false">(Z12+AA12)/T12</f>
        <v>0.937294815798113</v>
      </c>
    </row>
    <row r="13" customFormat="false" ht="15.75" hidden="false" customHeight="false" outlineLevel="0" collapsed="false">
      <c r="A13" s="5" t="s">
        <v>95</v>
      </c>
      <c r="B13" s="5" t="s">
        <v>96</v>
      </c>
      <c r="C13" s="3" t="s">
        <v>32</v>
      </c>
      <c r="D13" s="5" t="s">
        <v>33</v>
      </c>
      <c r="E13" s="5" t="s">
        <v>49</v>
      </c>
      <c r="F13" s="1" t="n">
        <v>3</v>
      </c>
      <c r="G13" s="5" t="s">
        <v>35</v>
      </c>
      <c r="H13" s="5" t="str">
        <f aca="false">E13&amp;"_"&amp;D13</f>
        <v>SCN_ko</v>
      </c>
      <c r="I13" s="5" t="str">
        <f aca="false">G13&amp;"_"&amp;E13</f>
        <v>p08_SCN</v>
      </c>
      <c r="J13" s="6" t="s">
        <v>97</v>
      </c>
      <c r="K13" s="6" t="s">
        <v>98</v>
      </c>
      <c r="L13" s="5" t="n">
        <v>1</v>
      </c>
      <c r="M13" s="5" t="s">
        <v>39</v>
      </c>
      <c r="P13" s="1" t="str">
        <f aca="false">"Opn4_bulkRNAseq/"&amp;A13&amp;"/outputs/40hisat2_mm38_100/mm38_100_genome-paired_gene_sreverse_gene_ID.count.xz"</f>
        <v>Opn4_bulkRNAseq/S3_KO_SCN_S15/outputs/40hisat2_mm38_100/mm38_100_genome-paired_gene_sreverse_gene_ID.count.xz</v>
      </c>
      <c r="Q13" s="1" t="s">
        <v>99</v>
      </c>
      <c r="R13" s="3" t="str">
        <f aca="false">"Opn4_bulkRNAseq/"&amp;A13&amp;"_"&amp;B13&amp;"/outputs/45salmon_mm38_100/quant.sf"</f>
        <v>Opn4_bulkRNAseq/S3_KO_SCN_S15_S15/outputs/45salmon_mm38_100/quant.sf</v>
      </c>
      <c r="S13" s="3" t="str">
        <f aca="false">_xlfn.CONCAT("preprocessing/", A13, "/outputs/45salmon_mm39_116_CDS/quant.sf")</f>
        <v>preprocessing/S3_KO_SCN_S15/outputs/45salmon_mm39_116_CDS/quant.sf</v>
      </c>
      <c r="T13" s="6" t="n">
        <v>34153703</v>
      </c>
      <c r="U13" s="6" t="n">
        <v>32621233</v>
      </c>
      <c r="V13" s="2" t="n">
        <f aca="false">U13/T13</f>
        <v>0.955130194813722</v>
      </c>
      <c r="W13" s="6" t="n">
        <v>582112</v>
      </c>
      <c r="X13" s="6" t="n">
        <v>478217</v>
      </c>
      <c r="Y13" s="6" t="n">
        <v>472141</v>
      </c>
      <c r="Z13" s="6" t="n">
        <v>29007069</v>
      </c>
      <c r="AA13" s="6" t="n">
        <v>2953165</v>
      </c>
      <c r="AB13" s="2" t="n">
        <f aca="false">(Z13+AA13)/U13</f>
        <v>0.97973715463177</v>
      </c>
      <c r="AC13" s="2" t="n">
        <f aca="false">(Z13+AA13)/T13</f>
        <v>0.935776539369684</v>
      </c>
    </row>
    <row r="14" customFormat="false" ht="15.75" hidden="false" customHeight="false" outlineLevel="0" collapsed="false">
      <c r="A14" s="5" t="s">
        <v>100</v>
      </c>
      <c r="B14" s="5" t="s">
        <v>101</v>
      </c>
      <c r="C14" s="3" t="s">
        <v>32</v>
      </c>
      <c r="D14" s="5" t="s">
        <v>71</v>
      </c>
      <c r="E14" s="5" t="s">
        <v>34</v>
      </c>
      <c r="F14" s="1" t="n">
        <v>2</v>
      </c>
      <c r="G14" s="5" t="s">
        <v>35</v>
      </c>
      <c r="H14" s="5" t="str">
        <f aca="false">E14&amp;"_"&amp;D14</f>
        <v>dLGN_het</v>
      </c>
      <c r="I14" s="5" t="str">
        <f aca="false">G14&amp;"_"&amp;E14</f>
        <v>p08_dLGN</v>
      </c>
      <c r="J14" s="6" t="s">
        <v>102</v>
      </c>
      <c r="K14" s="6" t="s">
        <v>103</v>
      </c>
      <c r="L14" s="5" t="n">
        <v>1</v>
      </c>
      <c r="M14" s="5" t="s">
        <v>39</v>
      </c>
      <c r="P14" s="1" t="str">
        <f aca="false">"Opn4_bulkRNAseq/"&amp;A14&amp;"/outputs/40hisat2_mm38_100/mm38_100_genome-paired_gene_sreverse_gene_ID.count.xz"</f>
        <v>Opn4_bulkRNAseq/S4_Het_dLGN_S5/outputs/40hisat2_mm38_100/mm38_100_genome-paired_gene_sreverse_gene_ID.count.xz</v>
      </c>
      <c r="Q14" s="1" t="s">
        <v>104</v>
      </c>
      <c r="R14" s="3" t="str">
        <f aca="false">"Opn4_bulkRNAseq/"&amp;A14&amp;"_"&amp;B14&amp;"/outputs/45salmon_mm38_100/quant.sf"</f>
        <v>Opn4_bulkRNAseq/S4_Het_dLGN_S5_S5/outputs/45salmon_mm38_100/quant.sf</v>
      </c>
      <c r="S14" s="3" t="str">
        <f aca="false">_xlfn.CONCAT("preprocessing/", A14, "/outputs/45salmon_mm39_116_CDS/quant.sf")</f>
        <v>preprocessing/S4_Het_dLGN_S5/outputs/45salmon_mm39_116_CDS/quant.sf</v>
      </c>
      <c r="T14" s="6" t="n">
        <v>27407895</v>
      </c>
      <c r="U14" s="6" t="n">
        <v>25809591</v>
      </c>
      <c r="V14" s="2" t="n">
        <f aca="false">U14/T14</f>
        <v>0.941684540166255</v>
      </c>
      <c r="W14" s="6" t="n">
        <v>550063</v>
      </c>
      <c r="X14" s="6" t="n">
        <v>473425</v>
      </c>
      <c r="Y14" s="6" t="n">
        <v>574816</v>
      </c>
      <c r="Z14" s="6" t="n">
        <v>20627922</v>
      </c>
      <c r="AA14" s="6" t="n">
        <v>3753299</v>
      </c>
      <c r="AB14" s="2" t="n">
        <f aca="false">(Z14+AA14)/U14</f>
        <v>0.944657394997077</v>
      </c>
      <c r="AC14" s="2" t="n">
        <f aca="false">(Z14+AA14)/T14</f>
        <v>0.889569264622475</v>
      </c>
    </row>
    <row r="15" customFormat="false" ht="15.75" hidden="false" customHeight="false" outlineLevel="0" collapsed="false">
      <c r="A15" s="5" t="s">
        <v>105</v>
      </c>
      <c r="B15" s="5" t="s">
        <v>106</v>
      </c>
      <c r="C15" s="3" t="s">
        <v>70</v>
      </c>
      <c r="D15" s="5" t="s">
        <v>71</v>
      </c>
      <c r="E15" s="5" t="s">
        <v>43</v>
      </c>
      <c r="F15" s="1" t="n">
        <v>2</v>
      </c>
      <c r="G15" s="5" t="s">
        <v>35</v>
      </c>
      <c r="H15" s="5" t="str">
        <f aca="false">E15&amp;"_"&amp;D15</f>
        <v>Retina_het</v>
      </c>
      <c r="I15" s="5" t="str">
        <f aca="false">G15&amp;"_"&amp;E15</f>
        <v>p08_Retina</v>
      </c>
      <c r="J15" s="6" t="s">
        <v>107</v>
      </c>
      <c r="K15" s="6" t="s">
        <v>108</v>
      </c>
      <c r="L15" s="5" t="n">
        <v>1</v>
      </c>
      <c r="M15" s="5" t="s">
        <v>39</v>
      </c>
      <c r="P15" s="1" t="str">
        <f aca="false">"Opn4_bulkRNAseq/"&amp;A15&amp;"/outputs/40hisat2_mm38_100/mm38_100_genome-paired_gene_sreverse_gene_ID.count.xz"</f>
        <v>Opn4_bulkRNAseq/S4_Het_Ret_S4/outputs/40hisat2_mm38_100/mm38_100_genome-paired_gene_sreverse_gene_ID.count.xz</v>
      </c>
      <c r="Q15" s="1" t="s">
        <v>109</v>
      </c>
      <c r="R15" s="3" t="str">
        <f aca="false">"Opn4_bulkRNAseq/"&amp;A15&amp;"_"&amp;B15&amp;"/outputs/45salmon_mm38_100/quant.sf"</f>
        <v>Opn4_bulkRNAseq/S4_Het_Ret_S4_S4/outputs/45salmon_mm38_100/quant.sf</v>
      </c>
      <c r="S15" s="3" t="str">
        <f aca="false">_xlfn.CONCAT("preprocessing/", A15, "/outputs/45salmon_mm39_116_CDS/quant.sf")</f>
        <v>preprocessing/S4_Het_Ret_S4/outputs/45salmon_mm39_116_CDS/quant.sf</v>
      </c>
      <c r="T15" s="6" t="n">
        <v>26590787</v>
      </c>
      <c r="U15" s="6" t="n">
        <v>25288044</v>
      </c>
      <c r="V15" s="2" t="n">
        <f aca="false">U15/T15</f>
        <v>0.951007730609854</v>
      </c>
      <c r="W15" s="6" t="n">
        <v>342494</v>
      </c>
      <c r="X15" s="6" t="n">
        <v>547286</v>
      </c>
      <c r="Y15" s="6" t="n">
        <v>412963</v>
      </c>
      <c r="Z15" s="6" t="n">
        <v>22410417</v>
      </c>
      <c r="AA15" s="6" t="n">
        <v>2018092</v>
      </c>
      <c r="AB15" s="2" t="n">
        <f aca="false">(Z15+AA15)/U15</f>
        <v>0.966010222063834</v>
      </c>
      <c r="AC15" s="2" t="n">
        <f aca="false">(Z15+AA15)/T15</f>
        <v>0.918683189030847</v>
      </c>
    </row>
    <row r="16" customFormat="false" ht="15.75" hidden="false" customHeight="false" outlineLevel="0" collapsed="false">
      <c r="A16" s="5" t="s">
        <v>110</v>
      </c>
      <c r="B16" s="5" t="s">
        <v>111</v>
      </c>
      <c r="C16" s="3" t="s">
        <v>70</v>
      </c>
      <c r="D16" s="5" t="s">
        <v>71</v>
      </c>
      <c r="E16" s="5" t="s">
        <v>49</v>
      </c>
      <c r="F16" s="1" t="n">
        <v>2</v>
      </c>
      <c r="G16" s="5" t="s">
        <v>35</v>
      </c>
      <c r="H16" s="5" t="str">
        <f aca="false">E16&amp;"_"&amp;D16</f>
        <v>SCN_het</v>
      </c>
      <c r="I16" s="5" t="str">
        <f aca="false">G16&amp;"_"&amp;E16</f>
        <v>p08_SCN</v>
      </c>
      <c r="J16" s="6" t="s">
        <v>112</v>
      </c>
      <c r="K16" s="6" t="s">
        <v>113</v>
      </c>
      <c r="L16" s="5" t="n">
        <v>1</v>
      </c>
      <c r="M16" s="5" t="s">
        <v>39</v>
      </c>
      <c r="P16" s="1" t="str">
        <f aca="false">"Opn4_bulkRNAseq/"&amp;A16&amp;"/outputs/40hisat2_mm38_100/mm38_100_genome-paired_gene_sreverse_gene_ID.count.xz"</f>
        <v>Opn4_bulkRNAseq/S4_Het_SCN_S6/outputs/40hisat2_mm38_100/mm38_100_genome-paired_gene_sreverse_gene_ID.count.xz</v>
      </c>
      <c r="Q16" s="1" t="s">
        <v>114</v>
      </c>
      <c r="R16" s="3" t="str">
        <f aca="false">"Opn4_bulkRNAseq/"&amp;A16&amp;"_"&amp;B16&amp;"/outputs/45salmon_mm38_100/quant.sf"</f>
        <v>Opn4_bulkRNAseq/S4_Het_SCN_S6_S6/outputs/45salmon_mm38_100/quant.sf</v>
      </c>
      <c r="S16" s="3" t="str">
        <f aca="false">_xlfn.CONCAT("preprocessing/", A16, "/outputs/45salmon_mm39_116_CDS/quant.sf")</f>
        <v>preprocessing/S4_Het_SCN_S6/outputs/45salmon_mm39_116_CDS/quant.sf</v>
      </c>
      <c r="T16" s="6" t="n">
        <v>30511943</v>
      </c>
      <c r="U16" s="6" t="n">
        <v>28413930</v>
      </c>
      <c r="V16" s="2" t="n">
        <f aca="false">U16/T16</f>
        <v>0.931239613288475</v>
      </c>
      <c r="W16" s="6" t="n">
        <v>639439</v>
      </c>
      <c r="X16" s="6" t="n">
        <v>505318</v>
      </c>
      <c r="Y16" s="6" t="n">
        <v>953256</v>
      </c>
      <c r="Z16" s="6" t="n">
        <v>22660653</v>
      </c>
      <c r="AA16" s="6" t="n">
        <v>4189591</v>
      </c>
      <c r="AB16" s="2" t="n">
        <f aca="false">(Z16+AA16)/U16</f>
        <v>0.944967626794322</v>
      </c>
      <c r="AC16" s="2" t="n">
        <f aca="false">(Z16+AA16)/T16</f>
        <v>0.879991287346073</v>
      </c>
    </row>
    <row r="17" customFormat="false" ht="15.75" hidden="false" customHeight="false" outlineLevel="0" collapsed="false">
      <c r="A17" s="5" t="s">
        <v>115</v>
      </c>
      <c r="B17" s="5" t="s">
        <v>116</v>
      </c>
      <c r="C17" s="3" t="s">
        <v>32</v>
      </c>
      <c r="D17" s="5" t="s">
        <v>71</v>
      </c>
      <c r="E17" s="5" t="s">
        <v>34</v>
      </c>
      <c r="F17" s="1" t="n">
        <v>3</v>
      </c>
      <c r="G17" s="5" t="s">
        <v>35</v>
      </c>
      <c r="H17" s="5" t="str">
        <f aca="false">E17&amp;"_"&amp;D17</f>
        <v>dLGN_het</v>
      </c>
      <c r="I17" s="5" t="str">
        <f aca="false">G17&amp;"_"&amp;E17</f>
        <v>p08_dLGN</v>
      </c>
      <c r="J17" s="6" t="s">
        <v>117</v>
      </c>
      <c r="K17" s="6" t="s">
        <v>118</v>
      </c>
      <c r="L17" s="5" t="n">
        <v>1</v>
      </c>
      <c r="M17" s="5" t="s">
        <v>39</v>
      </c>
      <c r="P17" s="1" t="str">
        <f aca="false">"Opn4_bulkRNAseq/"&amp;A17&amp;"/outputs/40hisat2_mm38_100/mm38_100_genome-paired_gene_sreverse_gene_ID.count.xz"</f>
        <v>Opn4_bulkRNAseq/S5_Het_dLGN_S17/outputs/40hisat2_mm38_100/mm38_100_genome-paired_gene_sreverse_gene_ID.count.xz</v>
      </c>
      <c r="Q17" s="1" t="s">
        <v>119</v>
      </c>
      <c r="R17" s="3" t="str">
        <f aca="false">"Opn4_bulkRNAseq/"&amp;A17&amp;"_"&amp;B17&amp;"/outputs/45salmon_mm38_100/quant.sf"</f>
        <v>Opn4_bulkRNAseq/S5_Het_dLGN_S17_S17/outputs/45salmon_mm38_100/quant.sf</v>
      </c>
      <c r="S17" s="3" t="str">
        <f aca="false">_xlfn.CONCAT("preprocessing/", A17, "/outputs/45salmon_mm39_116_CDS/quant.sf")</f>
        <v>preprocessing/S5_Het_dLGN_S17/outputs/45salmon_mm39_116_CDS/quant.sf</v>
      </c>
      <c r="T17" s="6" t="n">
        <v>31814675</v>
      </c>
      <c r="U17" s="6" t="n">
        <v>30328123</v>
      </c>
      <c r="V17" s="2" t="n">
        <f aca="false">U17/T17</f>
        <v>0.953274644484031</v>
      </c>
      <c r="W17" s="6" t="n">
        <v>608188</v>
      </c>
      <c r="X17" s="6" t="n">
        <v>478103</v>
      </c>
      <c r="Y17" s="6" t="n">
        <v>400261</v>
      </c>
      <c r="Z17" s="6" t="n">
        <v>26899796</v>
      </c>
      <c r="AA17" s="6" t="n">
        <v>2812930</v>
      </c>
      <c r="AB17" s="2" t="n">
        <f aca="false">(Z17+AA17)/U17</f>
        <v>0.979708701392434</v>
      </c>
      <c r="AC17" s="2" t="n">
        <f aca="false">(Z17+AA17)/T17</f>
        <v>0.933931464017784</v>
      </c>
    </row>
    <row r="18" customFormat="false" ht="15.75" hidden="false" customHeight="false" outlineLevel="0" collapsed="false">
      <c r="A18" s="5" t="s">
        <v>120</v>
      </c>
      <c r="B18" s="5" t="s">
        <v>121</v>
      </c>
      <c r="C18" s="3" t="s">
        <v>32</v>
      </c>
      <c r="D18" s="5" t="s">
        <v>71</v>
      </c>
      <c r="E18" s="5" t="s">
        <v>43</v>
      </c>
      <c r="F18" s="1" t="n">
        <v>3</v>
      </c>
      <c r="G18" s="5" t="s">
        <v>35</v>
      </c>
      <c r="H18" s="5" t="str">
        <f aca="false">E18&amp;"_"&amp;D18</f>
        <v>Retina_het</v>
      </c>
      <c r="I18" s="5" t="str">
        <f aca="false">G18&amp;"_"&amp;E18</f>
        <v>p08_Retina</v>
      </c>
      <c r="J18" s="6" t="s">
        <v>122</v>
      </c>
      <c r="K18" s="6" t="s">
        <v>123</v>
      </c>
      <c r="L18" s="5" t="n">
        <v>1</v>
      </c>
      <c r="M18" s="5" t="s">
        <v>39</v>
      </c>
      <c r="P18" s="1" t="str">
        <f aca="false">"Opn4_bulkRNAseq/"&amp;A18&amp;"/outputs/40hisat2_mm38_100/mm38_100_genome-paired_gene_sreverse_gene_ID.count.xz"</f>
        <v>Opn4_bulkRNAseq/S5_Het_Ret_S16/outputs/40hisat2_mm38_100/mm38_100_genome-paired_gene_sreverse_gene_ID.count.xz</v>
      </c>
      <c r="Q18" s="1" t="s">
        <v>124</v>
      </c>
      <c r="R18" s="3" t="str">
        <f aca="false">"Opn4_bulkRNAseq/"&amp;A18&amp;"_"&amp;B18&amp;"/outputs/45salmon_mm38_100/quant.sf"</f>
        <v>Opn4_bulkRNAseq/S5_Het_Ret_S16_S16/outputs/45salmon_mm38_100/quant.sf</v>
      </c>
      <c r="S18" s="3" t="str">
        <f aca="false">_xlfn.CONCAT("preprocessing/", A18, "/outputs/45salmon_mm39_116_CDS/quant.sf")</f>
        <v>preprocessing/S5_Het_Ret_S16/outputs/45salmon_mm39_116_CDS/quant.sf</v>
      </c>
      <c r="T18" s="6" t="n">
        <v>35517185</v>
      </c>
      <c r="U18" s="6" t="n">
        <v>33871929</v>
      </c>
      <c r="V18" s="2" t="n">
        <f aca="false">U18/T18</f>
        <v>0.95367718472058</v>
      </c>
      <c r="W18" s="6" t="n">
        <v>681683</v>
      </c>
      <c r="X18" s="6" t="n">
        <v>494910</v>
      </c>
      <c r="Y18" s="6" t="n">
        <v>468663</v>
      </c>
      <c r="Z18" s="6" t="n">
        <v>30803542</v>
      </c>
      <c r="AA18" s="6" t="n">
        <v>2346864</v>
      </c>
      <c r="AB18" s="2" t="n">
        <f aca="false">(Z18+AA18)/U18</f>
        <v>0.97869849691761</v>
      </c>
      <c r="AC18" s="2" t="n">
        <f aca="false">(Z18+AA18)/T18</f>
        <v>0.933362427230649</v>
      </c>
    </row>
    <row r="19" customFormat="false" ht="15.75" hidden="false" customHeight="false" outlineLevel="0" collapsed="false">
      <c r="A19" s="5" t="s">
        <v>125</v>
      </c>
      <c r="B19" s="5" t="s">
        <v>126</v>
      </c>
      <c r="C19" s="3" t="s">
        <v>32</v>
      </c>
      <c r="D19" s="5" t="s">
        <v>71</v>
      </c>
      <c r="E19" s="5" t="s">
        <v>49</v>
      </c>
      <c r="F19" s="1" t="n">
        <v>3</v>
      </c>
      <c r="G19" s="5" t="s">
        <v>35</v>
      </c>
      <c r="H19" s="5" t="str">
        <f aca="false">E19&amp;"_"&amp;D19</f>
        <v>SCN_het</v>
      </c>
      <c r="I19" s="5" t="str">
        <f aca="false">G19&amp;"_"&amp;E19</f>
        <v>p08_SCN</v>
      </c>
      <c r="J19" s="6" t="s">
        <v>127</v>
      </c>
      <c r="K19" s="6" t="s">
        <v>128</v>
      </c>
      <c r="L19" s="5" t="n">
        <v>1</v>
      </c>
      <c r="M19" s="5" t="s">
        <v>39</v>
      </c>
      <c r="P19" s="1" t="str">
        <f aca="false">"Opn4_bulkRNAseq/"&amp;A19&amp;"/outputs/40hisat2_mm38_100/mm38_100_genome-paired_gene_sreverse_gene_ID.count.xz"</f>
        <v>Opn4_bulkRNAseq/S5_Het_SCN_S18/outputs/40hisat2_mm38_100/mm38_100_genome-paired_gene_sreverse_gene_ID.count.xz</v>
      </c>
      <c r="Q19" s="1" t="s">
        <v>129</v>
      </c>
      <c r="R19" s="3" t="str">
        <f aca="false">"Opn4_bulkRNAseq/"&amp;A19&amp;"_"&amp;B19&amp;"/outputs/45salmon_mm38_100/quant.sf"</f>
        <v>Opn4_bulkRNAseq/S5_Het_SCN_S18_S18/outputs/45salmon_mm38_100/quant.sf</v>
      </c>
      <c r="S19" s="3" t="str">
        <f aca="false">_xlfn.CONCAT("preprocessing/", A19, "/outputs/45salmon_mm39_116_CDS/quant.sf")</f>
        <v>preprocessing/S5_Het_SCN_S18/outputs/45salmon_mm39_116_CDS/quant.sf</v>
      </c>
      <c r="T19" s="6" t="n">
        <v>31612618</v>
      </c>
      <c r="U19" s="6" t="n">
        <v>30239522</v>
      </c>
      <c r="V19" s="2" t="n">
        <f aca="false">U19/T19</f>
        <v>0.956564938721621</v>
      </c>
      <c r="W19" s="6" t="n">
        <v>513673</v>
      </c>
      <c r="X19" s="6" t="n">
        <v>469205</v>
      </c>
      <c r="Y19" s="6" t="n">
        <v>390218</v>
      </c>
      <c r="Z19" s="6" t="n">
        <v>26890436</v>
      </c>
      <c r="AA19" s="6" t="n">
        <v>2790985</v>
      </c>
      <c r="AB19" s="2" t="n">
        <f aca="false">(Z19+AA19)/U19</f>
        <v>0.981543987368583</v>
      </c>
      <c r="AC19" s="2" t="n">
        <f aca="false">(Z19+AA19)/T19</f>
        <v>0.938910564129804</v>
      </c>
    </row>
    <row r="20" s="11" customFormat="true" ht="15.75" hidden="false" customHeight="false" outlineLevel="0" collapsed="false">
      <c r="A20" s="7" t="s">
        <v>130</v>
      </c>
      <c r="B20" s="7" t="s">
        <v>76</v>
      </c>
      <c r="C20" s="3" t="s">
        <v>32</v>
      </c>
      <c r="D20" s="7" t="s">
        <v>71</v>
      </c>
      <c r="E20" s="7" t="s">
        <v>43</v>
      </c>
      <c r="F20" s="8" t="n">
        <v>4</v>
      </c>
      <c r="G20" s="7" t="s">
        <v>35</v>
      </c>
      <c r="H20" s="7" t="s">
        <v>131</v>
      </c>
      <c r="I20" s="7" t="s">
        <v>131</v>
      </c>
      <c r="J20" s="8" t="s">
        <v>132</v>
      </c>
      <c r="K20" s="8" t="s">
        <v>133</v>
      </c>
      <c r="L20" s="7" t="n">
        <v>2</v>
      </c>
      <c r="M20" s="7" t="s">
        <v>134</v>
      </c>
      <c r="N20" s="8"/>
      <c r="O20" s="8"/>
      <c r="P20" s="8" t="str">
        <f aca="false">"Opn4_bulkRNAseq/"&amp;A20&amp;"/outputs/40hisat2_mm38_100/mm38_100_genome-paired_gene_sreverse_gene_ID.count.xz"</f>
        <v>Opn4_bulkRNAseq/S1_Het_Ret_S1/outputs/40hisat2_mm38_100/mm38_100_genome-paired_gene_sreverse_gene_ID.count.xz</v>
      </c>
      <c r="Q20" s="8" t="s">
        <v>135</v>
      </c>
      <c r="R20" s="3" t="str">
        <f aca="false">"Opn4_bulkRNAseq/"&amp;A20&amp;"/outputs/45salmon_mm38_100/quant.sf"</f>
        <v>Opn4_bulkRNAseq/S1_Het_Ret_S1/outputs/45salmon_mm38_100/quant.sf</v>
      </c>
      <c r="S20" s="3" t="str">
        <f aca="false">_xlfn.CONCAT("preprocessing/", A20, "/outputs/45salmon_mm39_116_CDS/quant.sf")</f>
        <v>preprocessing/S1_Het_Ret_S1/outputs/45salmon_mm39_116_CDS/quant.sf</v>
      </c>
      <c r="T20" s="8" t="n">
        <v>24795809</v>
      </c>
      <c r="U20" s="8" t="n">
        <v>23170283</v>
      </c>
      <c r="V20" s="9" t="n">
        <f aca="false">U20/T20</f>
        <v>0.93444351825746</v>
      </c>
      <c r="W20" s="8" t="n">
        <v>665514</v>
      </c>
      <c r="X20" s="8" t="n">
        <v>495482</v>
      </c>
      <c r="Y20" s="8" t="n">
        <v>464530</v>
      </c>
      <c r="Z20" s="8" t="n">
        <v>20950857</v>
      </c>
      <c r="AA20" s="8" t="n">
        <v>1747883</v>
      </c>
      <c r="AB20" s="10" t="n">
        <f aca="false">(AA20+Z20)/U20</f>
        <v>0.979648802735815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L20" s="1"/>
    </row>
    <row r="21" s="11" customFormat="true" ht="15.75" hidden="false" customHeight="false" outlineLevel="0" collapsed="false">
      <c r="A21" s="7" t="s">
        <v>136</v>
      </c>
      <c r="B21" s="7" t="s">
        <v>69</v>
      </c>
      <c r="C21" s="3" t="s">
        <v>32</v>
      </c>
      <c r="D21" s="7" t="s">
        <v>71</v>
      </c>
      <c r="E21" s="7" t="s">
        <v>34</v>
      </c>
      <c r="F21" s="8" t="n">
        <v>4</v>
      </c>
      <c r="G21" s="7" t="s">
        <v>35</v>
      </c>
      <c r="H21" s="7" t="s">
        <v>137</v>
      </c>
      <c r="I21" s="7" t="s">
        <v>137</v>
      </c>
      <c r="J21" s="8" t="s">
        <v>138</v>
      </c>
      <c r="K21" s="8" t="s">
        <v>139</v>
      </c>
      <c r="L21" s="7" t="n">
        <v>2</v>
      </c>
      <c r="M21" s="7" t="s">
        <v>134</v>
      </c>
      <c r="N21" s="8"/>
      <c r="O21" s="8"/>
      <c r="P21" s="8" t="str">
        <f aca="false">"Opn4_bulkRNAseq/"&amp;A21&amp;"/outputs/40hisat2_mm38_100/mm38_100_genome-paired_gene_sreverse_gene_ID.count.xz"</f>
        <v>Opn4_bulkRNAseq/S1_Het_dLGN_S2/outputs/40hisat2_mm38_100/mm38_100_genome-paired_gene_sreverse_gene_ID.count.xz</v>
      </c>
      <c r="Q21" s="8" t="s">
        <v>140</v>
      </c>
      <c r="R21" s="3" t="str">
        <f aca="false">"Opn4_bulkRNAseq/"&amp;A21&amp;"/outputs/45salmon_mm38_100/quant.sf"</f>
        <v>Opn4_bulkRNAseq/S1_Het_dLGN_S2/outputs/45salmon_mm38_100/quant.sf</v>
      </c>
      <c r="S21" s="3" t="str">
        <f aca="false">_xlfn.CONCAT("preprocessing/", A21, "/outputs/45salmon_mm39_116_CDS/quant.sf")</f>
        <v>preprocessing/S1_Het_dLGN_S2/outputs/45salmon_mm39_116_CDS/quant.sf</v>
      </c>
      <c r="T21" s="8" t="n">
        <v>24109234</v>
      </c>
      <c r="U21" s="8" t="n">
        <v>22460019</v>
      </c>
      <c r="V21" s="9" t="n">
        <f aca="false">U21/T21</f>
        <v>0.931594052303777</v>
      </c>
      <c r="W21" s="8" t="n">
        <v>668466</v>
      </c>
      <c r="X21" s="8" t="n">
        <v>493811</v>
      </c>
      <c r="Y21" s="8" t="n">
        <v>486938</v>
      </c>
      <c r="Z21" s="8" t="n">
        <v>19851385</v>
      </c>
      <c r="AA21" s="8" t="n">
        <v>1982868</v>
      </c>
      <c r="AB21" s="10" t="n">
        <f aca="false">(AA21+Z21)/U21</f>
        <v>0.972138670051882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L21" s="1"/>
    </row>
    <row r="22" s="11" customFormat="true" ht="15.75" hidden="false" customHeight="false" outlineLevel="0" collapsed="false">
      <c r="A22" s="7" t="s">
        <v>141</v>
      </c>
      <c r="B22" s="7" t="s">
        <v>81</v>
      </c>
      <c r="C22" s="3" t="s">
        <v>32</v>
      </c>
      <c r="D22" s="7" t="s">
        <v>71</v>
      </c>
      <c r="E22" s="7" t="s">
        <v>49</v>
      </c>
      <c r="F22" s="12" t="n">
        <v>4</v>
      </c>
      <c r="G22" s="7" t="s">
        <v>35</v>
      </c>
      <c r="H22" s="7" t="s">
        <v>142</v>
      </c>
      <c r="I22" s="7" t="s">
        <v>142</v>
      </c>
      <c r="J22" s="8" t="s">
        <v>143</v>
      </c>
      <c r="K22" s="8" t="s">
        <v>144</v>
      </c>
      <c r="L22" s="7" t="n">
        <v>2</v>
      </c>
      <c r="M22" s="7" t="s">
        <v>134</v>
      </c>
      <c r="N22" s="8"/>
      <c r="O22" s="8"/>
      <c r="P22" s="8" t="str">
        <f aca="false">"Opn4_bulkRNAseq/"&amp;A22&amp;"/outputs/40hisat2_mm38_100/mm38_100_genome-paired_gene_sreverse_gene_ID.count.xz"</f>
        <v>Opn4_bulkRNAseq/S1_Het_SCN_S3/outputs/40hisat2_mm38_100/mm38_100_genome-paired_gene_sreverse_gene_ID.count.xz</v>
      </c>
      <c r="Q22" s="8" t="s">
        <v>145</v>
      </c>
      <c r="R22" s="3" t="str">
        <f aca="false">"Opn4_bulkRNAseq/"&amp;A22&amp;"/outputs/45salmon_mm38_100/quant.sf"</f>
        <v>Opn4_bulkRNAseq/S1_Het_SCN_S3/outputs/45salmon_mm38_100/quant.sf</v>
      </c>
      <c r="S22" s="3" t="str">
        <f aca="false">_xlfn.CONCAT("preprocessing/", A22, "/outputs/45salmon_mm39_116_CDS/quant.sf")</f>
        <v>preprocessing/S1_Het_SCN_S3/outputs/45salmon_mm39_116_CDS/quant.sf</v>
      </c>
      <c r="T22" s="8" t="n">
        <v>19107545</v>
      </c>
      <c r="U22" s="8" t="n">
        <v>17744063</v>
      </c>
      <c r="V22" s="9" t="n">
        <f aca="false">U22/T22</f>
        <v>0.928641696251402</v>
      </c>
      <c r="W22" s="8" t="n">
        <v>531657</v>
      </c>
      <c r="X22" s="8" t="n">
        <v>390810</v>
      </c>
      <c r="Y22" s="8" t="n">
        <v>441015</v>
      </c>
      <c r="Z22" s="8"/>
      <c r="AA22" s="8"/>
      <c r="AB22" s="10" t="n">
        <f aca="false">(AA22+Z22)/U22</f>
        <v>0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L22" s="1"/>
    </row>
    <row r="23" s="11" customFormat="true" ht="15.75" hidden="false" customHeight="false" outlineLevel="0" collapsed="false">
      <c r="A23" s="7" t="s">
        <v>146</v>
      </c>
      <c r="B23" s="7" t="s">
        <v>106</v>
      </c>
      <c r="C23" s="3" t="s">
        <v>32</v>
      </c>
      <c r="D23" s="7" t="s">
        <v>71</v>
      </c>
      <c r="E23" s="7" t="s">
        <v>43</v>
      </c>
      <c r="F23" s="8" t="n">
        <v>5</v>
      </c>
      <c r="G23" s="7" t="s">
        <v>35</v>
      </c>
      <c r="H23" s="7" t="s">
        <v>131</v>
      </c>
      <c r="I23" s="7" t="s">
        <v>131</v>
      </c>
      <c r="J23" s="8" t="s">
        <v>147</v>
      </c>
      <c r="K23" s="8" t="s">
        <v>148</v>
      </c>
      <c r="L23" s="7" t="n">
        <v>2</v>
      </c>
      <c r="M23" s="7" t="s">
        <v>134</v>
      </c>
      <c r="N23" s="8"/>
      <c r="O23" s="8"/>
      <c r="P23" s="8" t="str">
        <f aca="false">"Opn4_bulkRNAseq/"&amp;A23&amp;"/outputs/40hisat2_mm38_100/mm38_100_genome-paired_gene_sreverse_gene_ID.count.xz"</f>
        <v>Opn4_bulkRNAseq/S2_Het_Ret_S4/outputs/40hisat2_mm38_100/mm38_100_genome-paired_gene_sreverse_gene_ID.count.xz</v>
      </c>
      <c r="Q23" s="8" t="s">
        <v>149</v>
      </c>
      <c r="R23" s="3" t="str">
        <f aca="false">"Opn4_bulkRNAseq/"&amp;A23&amp;"/outputs/45salmon_mm38_100/quant.sf"</f>
        <v>Opn4_bulkRNAseq/S2_Het_Ret_S4/outputs/45salmon_mm38_100/quant.sf</v>
      </c>
      <c r="S23" s="3" t="str">
        <f aca="false">_xlfn.CONCAT("preprocessing/", A23, "/outputs/45salmon_mm39_116_CDS/quant.sf")</f>
        <v>preprocessing/S2_Het_Ret_S4/outputs/45salmon_mm39_116_CDS/quant.sf</v>
      </c>
      <c r="T23" s="8" t="n">
        <v>22693512</v>
      </c>
      <c r="U23" s="8" t="n">
        <v>21170130</v>
      </c>
      <c r="V23" s="9" t="n">
        <f aca="false">U23/T23</f>
        <v>0.932871474454902</v>
      </c>
      <c r="W23" s="8" t="n">
        <v>630201</v>
      </c>
      <c r="X23" s="8" t="n">
        <v>463209</v>
      </c>
      <c r="Y23" s="8" t="n">
        <v>429972</v>
      </c>
      <c r="Z23" s="8"/>
      <c r="AA23" s="8"/>
      <c r="AB23" s="10" t="n">
        <f aca="false">(AA23+Z23)/U23</f>
        <v>0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L23" s="1"/>
    </row>
    <row r="24" s="11" customFormat="true" ht="15.75" hidden="false" customHeight="false" outlineLevel="0" collapsed="false">
      <c r="A24" s="7" t="s">
        <v>150</v>
      </c>
      <c r="B24" s="7" t="s">
        <v>101</v>
      </c>
      <c r="C24" s="3" t="s">
        <v>32</v>
      </c>
      <c r="D24" s="7" t="s">
        <v>71</v>
      </c>
      <c r="E24" s="7" t="s">
        <v>34</v>
      </c>
      <c r="F24" s="8" t="n">
        <v>5</v>
      </c>
      <c r="G24" s="7" t="s">
        <v>35</v>
      </c>
      <c r="H24" s="7" t="s">
        <v>137</v>
      </c>
      <c r="I24" s="7" t="s">
        <v>137</v>
      </c>
      <c r="J24" s="8" t="s">
        <v>151</v>
      </c>
      <c r="K24" s="8" t="s">
        <v>152</v>
      </c>
      <c r="L24" s="7" t="n">
        <v>2</v>
      </c>
      <c r="M24" s="7" t="s">
        <v>134</v>
      </c>
      <c r="N24" s="8"/>
      <c r="O24" s="8"/>
      <c r="P24" s="8" t="str">
        <f aca="false">"Opn4_bulkRNAseq/"&amp;A24&amp;"/outputs/40hisat2_mm38_100/mm38_100_genome-paired_gene_sreverse_gene_ID.count.xz"</f>
        <v>Opn4_bulkRNAseq/S2_Het_dLGN_S5/outputs/40hisat2_mm38_100/mm38_100_genome-paired_gene_sreverse_gene_ID.count.xz</v>
      </c>
      <c r="Q24" s="8" t="s">
        <v>153</v>
      </c>
      <c r="R24" s="3" t="str">
        <f aca="false">"Opn4_bulkRNAseq/"&amp;A24&amp;"/outputs/45salmon_mm38_100/quant.sf"</f>
        <v>Opn4_bulkRNAseq/S2_Het_dLGN_S5/outputs/45salmon_mm38_100/quant.sf</v>
      </c>
      <c r="S24" s="3" t="str">
        <f aca="false">_xlfn.CONCAT("preprocessing/", A24, "/outputs/45salmon_mm39_116_CDS/quant.sf")</f>
        <v>preprocessing/S2_Het_dLGN_S5/outputs/45salmon_mm39_116_CDS/quant.sf</v>
      </c>
      <c r="T24" s="8" t="n">
        <v>23090568</v>
      </c>
      <c r="U24" s="8" t="n">
        <v>21465670</v>
      </c>
      <c r="V24" s="9" t="n">
        <f aca="false">U24/T24</f>
        <v>0.92962936208412</v>
      </c>
      <c r="W24" s="8" t="n">
        <v>657921</v>
      </c>
      <c r="X24" s="8" t="n">
        <v>472500</v>
      </c>
      <c r="Y24" s="8" t="n">
        <v>494477</v>
      </c>
      <c r="Z24" s="8"/>
      <c r="AA24" s="8"/>
      <c r="AB24" s="10" t="n">
        <f aca="false">(AA24+Z24)/U24</f>
        <v>0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L24" s="1"/>
    </row>
    <row r="25" s="11" customFormat="true" ht="15.75" hidden="false" customHeight="false" outlineLevel="0" collapsed="false">
      <c r="A25" s="7" t="s">
        <v>154</v>
      </c>
      <c r="B25" s="7" t="s">
        <v>111</v>
      </c>
      <c r="C25" s="3" t="s">
        <v>32</v>
      </c>
      <c r="D25" s="7" t="s">
        <v>71</v>
      </c>
      <c r="E25" s="7" t="s">
        <v>49</v>
      </c>
      <c r="F25" s="8" t="n">
        <v>5</v>
      </c>
      <c r="G25" s="7" t="s">
        <v>35</v>
      </c>
      <c r="H25" s="7" t="s">
        <v>142</v>
      </c>
      <c r="I25" s="7" t="s">
        <v>142</v>
      </c>
      <c r="J25" s="8" t="s">
        <v>155</v>
      </c>
      <c r="K25" s="8" t="s">
        <v>156</v>
      </c>
      <c r="L25" s="7" t="n">
        <v>2</v>
      </c>
      <c r="M25" s="7" t="s">
        <v>134</v>
      </c>
      <c r="N25" s="8"/>
      <c r="O25" s="8"/>
      <c r="P25" s="8" t="str">
        <f aca="false">"Opn4_bulkRNAseq/"&amp;A25&amp;"/outputs/40hisat2_mm38_100/mm38_100_genome-paired_gene_sreverse_gene_ID.count.xz"</f>
        <v>Opn4_bulkRNAseq/S2_Het_SCN_S6/outputs/40hisat2_mm38_100/mm38_100_genome-paired_gene_sreverse_gene_ID.count.xz</v>
      </c>
      <c r="Q25" s="8" t="s">
        <v>157</v>
      </c>
      <c r="R25" s="3" t="str">
        <f aca="false">"Opn4_bulkRNAseq/"&amp;A25&amp;"/outputs/45salmon_mm38_100/quant.sf"</f>
        <v>Opn4_bulkRNAseq/S2_Het_SCN_S6/outputs/45salmon_mm38_100/quant.sf</v>
      </c>
      <c r="S25" s="3" t="str">
        <f aca="false">_xlfn.CONCAT("preprocessing/", A25, "/outputs/45salmon_mm39_116_CDS/quant.sf")</f>
        <v>preprocessing/S2_Het_SCN_S6/outputs/45salmon_mm39_116_CDS/quant.sf</v>
      </c>
      <c r="T25" s="8" t="n">
        <v>24130637</v>
      </c>
      <c r="U25" s="8" t="n">
        <v>22492964</v>
      </c>
      <c r="V25" s="9" t="n">
        <f aca="false">U25/T25</f>
        <v>0.932133039007632</v>
      </c>
      <c r="W25" s="8" t="n">
        <v>629934</v>
      </c>
      <c r="X25" s="8" t="n">
        <v>492339</v>
      </c>
      <c r="Y25" s="8" t="n">
        <v>515400</v>
      </c>
      <c r="Z25" s="8"/>
      <c r="AA25" s="8"/>
      <c r="AB25" s="10" t="n">
        <f aca="false">(AA25+Z25)/U25</f>
        <v>0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L25" s="1"/>
    </row>
    <row r="26" s="11" customFormat="true" ht="15.75" hidden="false" customHeight="false" outlineLevel="0" collapsed="false">
      <c r="A26" s="7" t="s">
        <v>158</v>
      </c>
      <c r="B26" s="7" t="s">
        <v>42</v>
      </c>
      <c r="C26" s="3" t="s">
        <v>32</v>
      </c>
      <c r="D26" s="7" t="s">
        <v>71</v>
      </c>
      <c r="E26" s="7" t="s">
        <v>43</v>
      </c>
      <c r="F26" s="8" t="n">
        <v>6</v>
      </c>
      <c r="G26" s="7" t="s">
        <v>35</v>
      </c>
      <c r="H26" s="7" t="s">
        <v>131</v>
      </c>
      <c r="I26" s="7" t="s">
        <v>131</v>
      </c>
      <c r="J26" s="8" t="s">
        <v>159</v>
      </c>
      <c r="K26" s="8" t="s">
        <v>160</v>
      </c>
      <c r="L26" s="7" t="n">
        <v>2</v>
      </c>
      <c r="M26" s="7" t="s">
        <v>134</v>
      </c>
      <c r="N26" s="8"/>
      <c r="O26" s="8"/>
      <c r="P26" s="8" t="str">
        <f aca="false">"Opn4_bulkRNAseq/"&amp;A26&amp;"/outputs/40hisat2_mm38_100/mm38_100_genome-paired_gene_sreverse_gene_ID.count.xz"</f>
        <v>Opn4_bulkRNAseq/S3_Het_Ret_S7/outputs/40hisat2_mm38_100/mm38_100_genome-paired_gene_sreverse_gene_ID.count.xz</v>
      </c>
      <c r="Q26" s="8" t="s">
        <v>161</v>
      </c>
      <c r="R26" s="3" t="str">
        <f aca="false">"Opn4_bulkRNAseq/"&amp;A26&amp;"/outputs/45salmon_mm38_100/quant.sf"</f>
        <v>Opn4_bulkRNAseq/S3_Het_Ret_S7/outputs/45salmon_mm38_100/quant.sf</v>
      </c>
      <c r="S26" s="3" t="str">
        <f aca="false">_xlfn.CONCAT("preprocessing/", A26, "/outputs/45salmon_mm39_116_CDS/quant.sf")</f>
        <v>preprocessing/S3_Het_Ret_S7/outputs/45salmon_mm39_116_CDS/quant.sf</v>
      </c>
      <c r="T26" s="8" t="n">
        <v>21025732</v>
      </c>
      <c r="U26" s="8" t="n">
        <v>19651053</v>
      </c>
      <c r="V26" s="9" t="n">
        <f aca="false">U26/T26</f>
        <v>0.934619208501278</v>
      </c>
      <c r="W26" s="8" t="n">
        <v>565608</v>
      </c>
      <c r="X26" s="8" t="n">
        <v>435870</v>
      </c>
      <c r="Y26" s="8" t="n">
        <v>373201</v>
      </c>
      <c r="Z26" s="8"/>
      <c r="AA26" s="8"/>
      <c r="AB26" s="10" t="n">
        <f aca="false">(AA26+Z26)/U26</f>
        <v>0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L26" s="1"/>
    </row>
    <row r="27" s="11" customFormat="true" ht="15.75" hidden="false" customHeight="false" outlineLevel="0" collapsed="false">
      <c r="A27" s="7" t="s">
        <v>162</v>
      </c>
      <c r="B27" s="7" t="s">
        <v>31</v>
      </c>
      <c r="C27" s="3" t="s">
        <v>32</v>
      </c>
      <c r="D27" s="7" t="s">
        <v>71</v>
      </c>
      <c r="E27" s="7" t="s">
        <v>34</v>
      </c>
      <c r="F27" s="12" t="n">
        <v>6</v>
      </c>
      <c r="G27" s="7" t="s">
        <v>35</v>
      </c>
      <c r="H27" s="7" t="s">
        <v>137</v>
      </c>
      <c r="I27" s="7" t="s">
        <v>137</v>
      </c>
      <c r="J27" s="8" t="s">
        <v>163</v>
      </c>
      <c r="K27" s="8" t="s">
        <v>164</v>
      </c>
      <c r="L27" s="7" t="n">
        <v>2</v>
      </c>
      <c r="M27" s="7" t="s">
        <v>134</v>
      </c>
      <c r="N27" s="8"/>
      <c r="O27" s="8"/>
      <c r="P27" s="8" t="str">
        <f aca="false">"Opn4_bulkRNAseq/"&amp;A27&amp;"/outputs/40hisat2_mm38_100/mm38_100_genome-paired_gene_sreverse_gene_ID.count.xz"</f>
        <v>Opn4_bulkRNAseq/S3_Het_dLGN_S8/outputs/40hisat2_mm38_100/mm38_100_genome-paired_gene_sreverse_gene_ID.count.xz</v>
      </c>
      <c r="Q27" s="8" t="s">
        <v>165</v>
      </c>
      <c r="R27" s="3" t="str">
        <f aca="false">"Opn4_bulkRNAseq/"&amp;A27&amp;"/outputs/45salmon_mm38_100/quant.sf"</f>
        <v>Opn4_bulkRNAseq/S3_Het_dLGN_S8/outputs/45salmon_mm38_100/quant.sf</v>
      </c>
      <c r="S27" s="3" t="str">
        <f aca="false">_xlfn.CONCAT("preprocessing/", A27, "/outputs/45salmon_mm39_116_CDS/quant.sf")</f>
        <v>preprocessing/S3_Het_dLGN_S8/outputs/45salmon_mm39_116_CDS/quant.sf</v>
      </c>
      <c r="T27" s="8" t="n">
        <v>21264227</v>
      </c>
      <c r="U27" s="8" t="n">
        <v>19744244</v>
      </c>
      <c r="V27" s="9" t="n">
        <f aca="false">U27/T27</f>
        <v>0.928519245021227</v>
      </c>
      <c r="W27" s="8" t="n">
        <v>517640</v>
      </c>
      <c r="X27" s="8" t="n">
        <v>513087</v>
      </c>
      <c r="Y27" s="8" t="n">
        <v>489256</v>
      </c>
      <c r="Z27" s="8"/>
      <c r="AA27" s="8"/>
      <c r="AB27" s="10" t="n">
        <f aca="false">(AA27+Z27)/U27</f>
        <v>0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L27" s="1"/>
    </row>
    <row r="28" s="11" customFormat="true" ht="15.75" hidden="false" customHeight="false" outlineLevel="0" collapsed="false">
      <c r="A28" s="7" t="s">
        <v>166</v>
      </c>
      <c r="B28" s="7" t="s">
        <v>48</v>
      </c>
      <c r="C28" s="3" t="s">
        <v>32</v>
      </c>
      <c r="D28" s="7" t="s">
        <v>71</v>
      </c>
      <c r="E28" s="7" t="s">
        <v>49</v>
      </c>
      <c r="F28" s="8" t="n">
        <v>6</v>
      </c>
      <c r="G28" s="7" t="s">
        <v>35</v>
      </c>
      <c r="H28" s="7" t="s">
        <v>142</v>
      </c>
      <c r="I28" s="7" t="s">
        <v>142</v>
      </c>
      <c r="J28" s="8" t="s">
        <v>167</v>
      </c>
      <c r="K28" s="8" t="s">
        <v>168</v>
      </c>
      <c r="L28" s="7" t="n">
        <v>2</v>
      </c>
      <c r="M28" s="7" t="s">
        <v>134</v>
      </c>
      <c r="N28" s="8"/>
      <c r="O28" s="8"/>
      <c r="P28" s="8" t="str">
        <f aca="false">"Opn4_bulkRNAseq/"&amp;A28&amp;"/outputs/40hisat2_mm38_100/mm38_100_genome-paired_gene_sreverse_gene_ID.count.xz"</f>
        <v>Opn4_bulkRNAseq/S3_Het_SCN_S9/outputs/40hisat2_mm38_100/mm38_100_genome-paired_gene_sreverse_gene_ID.count.xz</v>
      </c>
      <c r="Q28" s="8" t="s">
        <v>169</v>
      </c>
      <c r="R28" s="3" t="str">
        <f aca="false">"Opn4_bulkRNAseq/"&amp;A28&amp;"/outputs/45salmon_mm38_100/quant.sf"</f>
        <v>Opn4_bulkRNAseq/S3_Het_SCN_S9/outputs/45salmon_mm38_100/quant.sf</v>
      </c>
      <c r="S28" s="3" t="str">
        <f aca="false">_xlfn.CONCAT("preprocessing/", A28, "/outputs/45salmon_mm39_116_CDS/quant.sf")</f>
        <v>preprocessing/S3_Het_SCN_S9/outputs/45salmon_mm39_116_CDS/quant.sf</v>
      </c>
      <c r="T28" s="8" t="n">
        <v>23460245</v>
      </c>
      <c r="U28" s="8" t="n">
        <v>21788529</v>
      </c>
      <c r="V28" s="9" t="n">
        <f aca="false">U28/T28</f>
        <v>0.928742602645454</v>
      </c>
      <c r="W28" s="8" t="n">
        <v>578857</v>
      </c>
      <c r="X28" s="8" t="n">
        <v>519276</v>
      </c>
      <c r="Y28" s="8" t="n">
        <v>573583</v>
      </c>
      <c r="Z28" s="8"/>
      <c r="AA28" s="8"/>
      <c r="AB28" s="10" t="n">
        <f aca="false">(AA28+Z28)/U28</f>
        <v>0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L28" s="1"/>
    </row>
    <row r="29" s="11" customFormat="true" ht="15.75" hidden="false" customHeight="false" outlineLevel="0" collapsed="false">
      <c r="A29" s="7" t="s">
        <v>170</v>
      </c>
      <c r="B29" s="7" t="s">
        <v>59</v>
      </c>
      <c r="C29" s="3" t="s">
        <v>32</v>
      </c>
      <c r="D29" s="7" t="s">
        <v>71</v>
      </c>
      <c r="E29" s="7" t="s">
        <v>43</v>
      </c>
      <c r="F29" s="8" t="n">
        <v>7</v>
      </c>
      <c r="G29" s="7" t="s">
        <v>35</v>
      </c>
      <c r="H29" s="7" t="s">
        <v>131</v>
      </c>
      <c r="I29" s="7" t="s">
        <v>131</v>
      </c>
      <c r="J29" s="8" t="s">
        <v>171</v>
      </c>
      <c r="K29" s="8" t="s">
        <v>172</v>
      </c>
      <c r="L29" s="7" t="n">
        <v>2</v>
      </c>
      <c r="M29" s="7" t="s">
        <v>134</v>
      </c>
      <c r="N29" s="8"/>
      <c r="O29" s="8"/>
      <c r="P29" s="8" t="str">
        <f aca="false">"Opn4_bulkRNAseq/"&amp;A29&amp;"/outputs/40hisat2_mm38_100/mm38_100_genome-paired_gene_sreverse_gene_ID.count.xz"</f>
        <v>Opn4_bulkRNAseq/S4_Het_Ret_S10/outputs/40hisat2_mm38_100/mm38_100_genome-paired_gene_sreverse_gene_ID.count.xz</v>
      </c>
      <c r="Q29" s="8" t="s">
        <v>173</v>
      </c>
      <c r="R29" s="3" t="str">
        <f aca="false">"Opn4_bulkRNAseq/"&amp;A29&amp;"/outputs/45salmon_mm38_100/quant.sf"</f>
        <v>Opn4_bulkRNAseq/S4_Het_Ret_S10/outputs/45salmon_mm38_100/quant.sf</v>
      </c>
      <c r="S29" s="3" t="str">
        <f aca="false">_xlfn.CONCAT("preprocessing/", A29, "/outputs/45salmon_mm39_116_CDS/quant.sf")</f>
        <v>preprocessing/S4_Het_Ret_S10/outputs/45salmon_mm39_116_CDS/quant.sf</v>
      </c>
      <c r="T29" s="8" t="n">
        <v>21215962</v>
      </c>
      <c r="U29" s="8" t="n">
        <v>19776924</v>
      </c>
      <c r="V29" s="9" t="n">
        <f aca="false">U29/T29</f>
        <v>0.932171918482886</v>
      </c>
      <c r="W29" s="8" t="n">
        <v>563433</v>
      </c>
      <c r="X29" s="8" t="n">
        <v>454030</v>
      </c>
      <c r="Y29" s="8" t="n">
        <v>421575</v>
      </c>
      <c r="Z29" s="8"/>
      <c r="AA29" s="8"/>
      <c r="AB29" s="10" t="n">
        <f aca="false">(AA29+Z29)/U29</f>
        <v>0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L29" s="1"/>
    </row>
    <row r="30" s="11" customFormat="true" ht="15.75" hidden="false" customHeight="false" outlineLevel="0" collapsed="false">
      <c r="A30" s="7" t="s">
        <v>174</v>
      </c>
      <c r="B30" s="7" t="s">
        <v>54</v>
      </c>
      <c r="C30" s="3" t="s">
        <v>70</v>
      </c>
      <c r="D30" s="7" t="s">
        <v>71</v>
      </c>
      <c r="E30" s="7" t="s">
        <v>34</v>
      </c>
      <c r="F30" s="8" t="n">
        <v>7</v>
      </c>
      <c r="G30" s="7" t="s">
        <v>35</v>
      </c>
      <c r="H30" s="7" t="s">
        <v>137</v>
      </c>
      <c r="I30" s="7" t="s">
        <v>137</v>
      </c>
      <c r="J30" s="8" t="s">
        <v>175</v>
      </c>
      <c r="K30" s="8" t="s">
        <v>176</v>
      </c>
      <c r="L30" s="7" t="n">
        <v>2</v>
      </c>
      <c r="M30" s="7" t="s">
        <v>134</v>
      </c>
      <c r="N30" s="8"/>
      <c r="O30" s="8"/>
      <c r="P30" s="8" t="str">
        <f aca="false">"Opn4_bulkRNAseq/"&amp;A30&amp;"/outputs/40hisat2_mm38_100/mm38_100_genome-paired_gene_sreverse_gene_ID.count.xz"</f>
        <v>Opn4_bulkRNAseq/S4_Het_dLGN_S11/outputs/40hisat2_mm38_100/mm38_100_genome-paired_gene_sreverse_gene_ID.count.xz</v>
      </c>
      <c r="Q30" s="8" t="s">
        <v>177</v>
      </c>
      <c r="R30" s="3" t="str">
        <f aca="false">"Opn4_bulkRNAseq/"&amp;A30&amp;"/outputs/45salmon_mm38_100/quant.sf"</f>
        <v>Opn4_bulkRNAseq/S4_Het_dLGN_S11/outputs/45salmon_mm38_100/quant.sf</v>
      </c>
      <c r="S30" s="3" t="str">
        <f aca="false">_xlfn.CONCAT("preprocessing/", A30, "/outputs/45salmon_mm39_116_CDS/quant.sf")</f>
        <v>preprocessing/S4_Het_dLGN_S11/outputs/45salmon_mm39_116_CDS/quant.sf</v>
      </c>
      <c r="T30" s="8" t="n">
        <v>11025172</v>
      </c>
      <c r="U30" s="8" t="n">
        <v>10061279</v>
      </c>
      <c r="V30" s="9" t="n">
        <f aca="false">U30/T30</f>
        <v>0.912573427425894</v>
      </c>
      <c r="W30" s="8" t="n">
        <v>301313</v>
      </c>
      <c r="X30" s="8" t="n">
        <v>245130</v>
      </c>
      <c r="Y30" s="8" t="n">
        <v>417450</v>
      </c>
      <c r="Z30" s="8"/>
      <c r="AA30" s="8"/>
      <c r="AB30" s="10" t="n">
        <f aca="false">(AA30+Z30)/U30</f>
        <v>0</v>
      </c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L30" s="1"/>
    </row>
    <row r="31" customFormat="false" ht="15.85" hidden="false" customHeight="false" outlineLevel="0" collapsed="false">
      <c r="A31" s="13" t="s">
        <v>178</v>
      </c>
      <c r="B31" s="7" t="s">
        <v>64</v>
      </c>
      <c r="C31" s="3" t="s">
        <v>32</v>
      </c>
      <c r="D31" s="7" t="s">
        <v>71</v>
      </c>
      <c r="E31" s="7" t="s">
        <v>49</v>
      </c>
      <c r="F31" s="8" t="n">
        <v>7</v>
      </c>
      <c r="G31" s="7" t="s">
        <v>35</v>
      </c>
      <c r="H31" s="7" t="s">
        <v>142</v>
      </c>
      <c r="I31" s="7" t="s">
        <v>142</v>
      </c>
      <c r="J31" s="8" t="s">
        <v>179</v>
      </c>
      <c r="K31" s="1" t="str">
        <f aca="false">A31&amp;"_R2_001.fastq.gz"</f>
        <v>S4_Het_SCN_S12_R2_001.fastq.gz</v>
      </c>
      <c r="L31" s="7" t="n">
        <v>2</v>
      </c>
      <c r="M31" s="7" t="s">
        <v>134</v>
      </c>
      <c r="P31" s="8" t="str">
        <f aca="false">"Opn4_bulkRNAseq/"&amp;A31&amp;"/outputs/40hisat2_mm38_100/mm38_100_genome-paired_gene_sreverse_gene_ID.count.xz"</f>
        <v>Opn4_bulkRNAseq/S4_Het_SCN_S12/outputs/40hisat2_mm38_100/mm38_100_genome-paired_gene_sreverse_gene_ID.count.xz</v>
      </c>
      <c r="Q31" s="8" t="s">
        <v>180</v>
      </c>
      <c r="R31" s="3" t="str">
        <f aca="false">"Opn4_bulkRNAseq/"&amp;A31&amp;"/outputs/45salmon_mm38_100/quant.sf"</f>
        <v>Opn4_bulkRNAseq/S4_Het_SCN_S12/outputs/45salmon_mm38_100/quant.sf</v>
      </c>
      <c r="S31" s="3" t="str">
        <f aca="false">_xlfn.CONCAT("preprocessing/", A31, "/outputs/45salmon_mm39_116_CDS/quant.sf")</f>
        <v>preprocessing/S4_Het_SCN_S12/outputs/45salmon_mm39_116_CDS/quant.sf</v>
      </c>
    </row>
    <row r="32" customFormat="false" ht="15.85" hidden="false" customHeight="false" outlineLevel="0" collapsed="false">
      <c r="A32" s="13" t="s">
        <v>181</v>
      </c>
      <c r="B32" s="7" t="s">
        <v>91</v>
      </c>
      <c r="C32" s="3" t="s">
        <v>32</v>
      </c>
      <c r="D32" s="7" t="s">
        <v>71</v>
      </c>
      <c r="E32" s="7" t="s">
        <v>43</v>
      </c>
      <c r="F32" s="8" t="n">
        <v>8</v>
      </c>
      <c r="G32" s="7" t="s">
        <v>35</v>
      </c>
      <c r="H32" s="7" t="s">
        <v>131</v>
      </c>
      <c r="I32" s="7" t="s">
        <v>131</v>
      </c>
      <c r="J32" s="8" t="s">
        <v>182</v>
      </c>
      <c r="K32" s="1" t="str">
        <f aca="false">A32&amp;"_R2_001.fastq.gz"</f>
        <v>S5_Het_Ret_S13_R2_001.fastq.gz</v>
      </c>
      <c r="L32" s="7" t="n">
        <v>2</v>
      </c>
      <c r="M32" s="7" t="s">
        <v>134</v>
      </c>
      <c r="P32" s="8" t="str">
        <f aca="false">"Opn4_bulkRNAseq/"&amp;A32&amp;"/outputs/40hisat2_mm38_100/mm38_100_genome-paired_gene_sreverse_gene_ID.count.xz"</f>
        <v>Opn4_bulkRNAseq/S5_Het_Ret_S13/outputs/40hisat2_mm38_100/mm38_100_genome-paired_gene_sreverse_gene_ID.count.xz</v>
      </c>
      <c r="Q32" s="8" t="s">
        <v>183</v>
      </c>
      <c r="R32" s="3" t="str">
        <f aca="false">"Opn4_bulkRNAseq/"&amp;A32&amp;"/outputs/45salmon_mm38_100/quant.sf"</f>
        <v>Opn4_bulkRNAseq/S5_Het_Ret_S13/outputs/45salmon_mm38_100/quant.sf</v>
      </c>
      <c r="S32" s="3" t="str">
        <f aca="false">_xlfn.CONCAT("preprocessing/", A32, "/outputs/45salmon_mm39_116_CDS/quant.sf")</f>
        <v>preprocessing/S5_Het_Ret_S13/outputs/45salmon_mm39_116_CDS/quant.sf</v>
      </c>
    </row>
    <row r="33" customFormat="false" ht="15.85" hidden="false" customHeight="false" outlineLevel="0" collapsed="false">
      <c r="A33" s="13" t="s">
        <v>184</v>
      </c>
      <c r="B33" s="7" t="s">
        <v>86</v>
      </c>
      <c r="C33" s="3" t="s">
        <v>32</v>
      </c>
      <c r="D33" s="7" t="s">
        <v>71</v>
      </c>
      <c r="E33" s="7" t="s">
        <v>34</v>
      </c>
      <c r="F33" s="8" t="n">
        <v>8</v>
      </c>
      <c r="G33" s="7" t="s">
        <v>35</v>
      </c>
      <c r="H33" s="7" t="s">
        <v>137</v>
      </c>
      <c r="I33" s="7" t="s">
        <v>137</v>
      </c>
      <c r="J33" s="8" t="str">
        <f aca="false">A33&amp;"_R1_001.fastq.gz"</f>
        <v>S5_Het_dLGN_S14_R1_001.fastq.gz</v>
      </c>
      <c r="K33" s="1" t="str">
        <f aca="false">A33&amp;"_R2_001.fastq.gz"</f>
        <v>S5_Het_dLGN_S14_R2_001.fastq.gz</v>
      </c>
      <c r="L33" s="7" t="n">
        <v>2</v>
      </c>
      <c r="M33" s="7" t="s">
        <v>134</v>
      </c>
      <c r="P33" s="8" t="str">
        <f aca="false">"Opn4_bulkRNAseq/"&amp;A33&amp;"/outputs/40hisat2_mm38_100/mm38_100_genome-paired_gene_sreverse_gene_ID.count.xz"</f>
        <v>Opn4_bulkRNAseq/S5_Het_dLGN_S14/outputs/40hisat2_mm38_100/mm38_100_genome-paired_gene_sreverse_gene_ID.count.xz</v>
      </c>
      <c r="Q33" s="8" t="s">
        <v>185</v>
      </c>
      <c r="R33" s="3" t="str">
        <f aca="false">"Opn4_bulkRNAseq/"&amp;A33&amp;"/outputs/45salmon_mm38_100/quant.sf"</f>
        <v>Opn4_bulkRNAseq/S5_Het_dLGN_S14/outputs/45salmon_mm38_100/quant.sf</v>
      </c>
      <c r="S33" s="3" t="str">
        <f aca="false">_xlfn.CONCAT("preprocessing/", A33, "/outputs/45salmon_mm39_116_CDS/quant.sf")</f>
        <v>preprocessing/S5_Het_dLGN_S14/outputs/45salmon_mm39_116_CDS/quant.sf</v>
      </c>
    </row>
    <row r="34" customFormat="false" ht="15.85" hidden="false" customHeight="false" outlineLevel="0" collapsed="false">
      <c r="A34" s="13" t="s">
        <v>186</v>
      </c>
      <c r="B34" s="7" t="s">
        <v>96</v>
      </c>
      <c r="C34" s="3" t="s">
        <v>32</v>
      </c>
      <c r="D34" s="7" t="s">
        <v>71</v>
      </c>
      <c r="E34" s="7" t="s">
        <v>49</v>
      </c>
      <c r="F34" s="8" t="n">
        <v>8</v>
      </c>
      <c r="G34" s="7" t="s">
        <v>35</v>
      </c>
      <c r="H34" s="7" t="s">
        <v>142</v>
      </c>
      <c r="I34" s="7" t="s">
        <v>142</v>
      </c>
      <c r="J34" s="8" t="str">
        <f aca="false">A34&amp;"_R1_001.fastq.gz"</f>
        <v>S5_Het_SCN_S15_R1_001.fastq.gz</v>
      </c>
      <c r="K34" s="1" t="str">
        <f aca="false">A34&amp;"_R2_001.fastq.gz"</f>
        <v>S5_Het_SCN_S15_R2_001.fastq.gz</v>
      </c>
      <c r="L34" s="7" t="n">
        <v>2</v>
      </c>
      <c r="M34" s="7" t="s">
        <v>134</v>
      </c>
      <c r="P34" s="8" t="str">
        <f aca="false">"Opn4_bulkRNAseq/"&amp;A34&amp;"/outputs/40hisat2_mm38_100/mm38_100_genome-paired_gene_sreverse_gene_ID.count.xz"</f>
        <v>Opn4_bulkRNAseq/S5_Het_SCN_S15/outputs/40hisat2_mm38_100/mm38_100_genome-paired_gene_sreverse_gene_ID.count.xz</v>
      </c>
      <c r="Q34" s="8" t="s">
        <v>187</v>
      </c>
      <c r="R34" s="3" t="str">
        <f aca="false">"Opn4_bulkRNAseq/"&amp;A34&amp;"/outputs/45salmon_mm38_100/quant.sf"</f>
        <v>Opn4_bulkRNAseq/S5_Het_SCN_S15/outputs/45salmon_mm38_100/quant.sf</v>
      </c>
      <c r="S34" s="3" t="str">
        <f aca="false">_xlfn.CONCAT("preprocessing/", A34, "/outputs/45salmon_mm39_116_CDS/quant.sf")</f>
        <v>preprocessing/S5_Het_SCN_S15/outputs/45salmon_mm39_116_CDS/quant.sf</v>
      </c>
    </row>
    <row r="35" customFormat="false" ht="15.85" hidden="false" customHeight="false" outlineLevel="0" collapsed="false">
      <c r="A35" s="13" t="s">
        <v>188</v>
      </c>
      <c r="B35" s="7" t="s">
        <v>121</v>
      </c>
      <c r="C35" s="3" t="s">
        <v>32</v>
      </c>
      <c r="D35" s="7" t="s">
        <v>33</v>
      </c>
      <c r="E35" s="7" t="s">
        <v>43</v>
      </c>
      <c r="F35" s="8" t="n">
        <v>4</v>
      </c>
      <c r="G35" s="7" t="s">
        <v>35</v>
      </c>
      <c r="H35" s="7" t="s">
        <v>189</v>
      </c>
      <c r="I35" s="7" t="s">
        <v>189</v>
      </c>
      <c r="J35" s="8" t="str">
        <f aca="false">A35&amp;"_R1_001.fastq.gz"</f>
        <v>S4_KO_Ret_S16_R1_001.fastq.gz</v>
      </c>
      <c r="K35" s="1" t="str">
        <f aca="false">A35&amp;"_R2_001.fastq.gz"</f>
        <v>S4_KO_Ret_S16_R2_001.fastq.gz</v>
      </c>
      <c r="L35" s="7" t="n">
        <v>2</v>
      </c>
      <c r="M35" s="7" t="s">
        <v>134</v>
      </c>
      <c r="P35" s="8" t="str">
        <f aca="false">"Opn4_bulkRNAseq/"&amp;A35&amp;"/outputs/40hisat2_mm38_100/mm38_100_genome-paired_gene_sreverse_gene_ID.count.xz"</f>
        <v>Opn4_bulkRNAseq/S4_KO_Ret_S16/outputs/40hisat2_mm38_100/mm38_100_genome-paired_gene_sreverse_gene_ID.count.xz</v>
      </c>
      <c r="Q35" s="8" t="s">
        <v>190</v>
      </c>
      <c r="R35" s="3" t="str">
        <f aca="false">"Opn4_bulkRNAseq/"&amp;A35&amp;"/outputs/45salmon_mm38_100/quant.sf"</f>
        <v>Opn4_bulkRNAseq/S4_KO_Ret_S16/outputs/45salmon_mm38_100/quant.sf</v>
      </c>
      <c r="S35" s="3" t="str">
        <f aca="false">_xlfn.CONCAT("preprocessing/", A35, "/outputs/45salmon_mm39_116_CDS/quant.sf")</f>
        <v>preprocessing/S4_KO_Ret_S16/outputs/45salmon_mm39_116_CDS/quant.sf</v>
      </c>
    </row>
    <row r="36" customFormat="false" ht="15.85" hidden="false" customHeight="false" outlineLevel="0" collapsed="false">
      <c r="A36" s="13" t="s">
        <v>191</v>
      </c>
      <c r="B36" s="7" t="s">
        <v>116</v>
      </c>
      <c r="C36" s="3" t="s">
        <v>32</v>
      </c>
      <c r="D36" s="7" t="s">
        <v>33</v>
      </c>
      <c r="E36" s="7" t="s">
        <v>34</v>
      </c>
      <c r="F36" s="8" t="n">
        <v>4</v>
      </c>
      <c r="G36" s="7" t="s">
        <v>35</v>
      </c>
      <c r="H36" s="7" t="s">
        <v>36</v>
      </c>
      <c r="I36" s="7" t="s">
        <v>36</v>
      </c>
      <c r="J36" s="8" t="str">
        <f aca="false">A36&amp;"_R1_001.fastq.gz"</f>
        <v>S4_KO_dLGN_S17_R1_001.fastq.gz</v>
      </c>
      <c r="K36" s="1" t="str">
        <f aca="false">A36&amp;"_R2_001.fastq.gz"</f>
        <v>S4_KO_dLGN_S17_R2_001.fastq.gz</v>
      </c>
      <c r="L36" s="7" t="n">
        <v>2</v>
      </c>
      <c r="M36" s="7" t="s">
        <v>134</v>
      </c>
      <c r="P36" s="8" t="str">
        <f aca="false">"Opn4_bulkRNAseq/"&amp;A36&amp;"/outputs/40hisat2_mm38_100/mm38_100_genome-paired_gene_sreverse_gene_ID.count.xz"</f>
        <v>Opn4_bulkRNAseq/S4_KO_dLGN_S17/outputs/40hisat2_mm38_100/mm38_100_genome-paired_gene_sreverse_gene_ID.count.xz</v>
      </c>
      <c r="Q36" s="8" t="s">
        <v>192</v>
      </c>
      <c r="R36" s="3" t="str">
        <f aca="false">"Opn4_bulkRNAseq/"&amp;A36&amp;"/outputs/45salmon_mm38_100/quant.sf"</f>
        <v>Opn4_bulkRNAseq/S4_KO_dLGN_S17/outputs/45salmon_mm38_100/quant.sf</v>
      </c>
      <c r="S36" s="3" t="str">
        <f aca="false">_xlfn.CONCAT("preprocessing/", A36, "/outputs/45salmon_mm39_116_CDS/quant.sf")</f>
        <v>preprocessing/S4_KO_dLGN_S17/outputs/45salmon_mm39_116_CDS/quant.sf</v>
      </c>
    </row>
    <row r="37" customFormat="false" ht="15.85" hidden="false" customHeight="false" outlineLevel="0" collapsed="false">
      <c r="A37" s="13" t="s">
        <v>193</v>
      </c>
      <c r="B37" s="7" t="s">
        <v>126</v>
      </c>
      <c r="C37" s="3" t="s">
        <v>32</v>
      </c>
      <c r="D37" s="7" t="s">
        <v>33</v>
      </c>
      <c r="E37" s="7" t="s">
        <v>49</v>
      </c>
      <c r="F37" s="8" t="n">
        <v>4</v>
      </c>
      <c r="G37" s="7" t="s">
        <v>35</v>
      </c>
      <c r="H37" s="7" t="s">
        <v>194</v>
      </c>
      <c r="I37" s="7" t="s">
        <v>194</v>
      </c>
      <c r="J37" s="8" t="str">
        <f aca="false">A37&amp;"_R1_001.fastq.gz"</f>
        <v>S4_KO_SCN_S18_R1_001.fastq.gz</v>
      </c>
      <c r="K37" s="1" t="str">
        <f aca="false">A37&amp;"_R2_001.fastq.gz"</f>
        <v>S4_KO_SCN_S18_R2_001.fastq.gz</v>
      </c>
      <c r="L37" s="7" t="n">
        <v>2</v>
      </c>
      <c r="M37" s="7" t="s">
        <v>134</v>
      </c>
      <c r="P37" s="8" t="str">
        <f aca="false">"Opn4_bulkRNAseq/"&amp;A37&amp;"/outputs/40hisat2_mm38_100/mm38_100_genome-paired_gene_sreverse_gene_ID.count.xz"</f>
        <v>Opn4_bulkRNAseq/S4_KO_SCN_S18/outputs/40hisat2_mm38_100/mm38_100_genome-paired_gene_sreverse_gene_ID.count.xz</v>
      </c>
      <c r="Q37" s="8" t="s">
        <v>195</v>
      </c>
      <c r="R37" s="3" t="str">
        <f aca="false">"Opn4_bulkRNAseq/"&amp;A37&amp;"/outputs/45salmon_mm38_100/quant.sf"</f>
        <v>Opn4_bulkRNAseq/S4_KO_SCN_S18/outputs/45salmon_mm38_100/quant.sf</v>
      </c>
      <c r="S37" s="3" t="str">
        <f aca="false">_xlfn.CONCAT("preprocessing/", A37, "/outputs/45salmon_mm39_116_CDS/quant.sf")</f>
        <v>preprocessing/S4_KO_SCN_S18/outputs/45salmon_mm39_116_CDS/quant.sf</v>
      </c>
      <c r="U37" s="3"/>
      <c r="V37" s="3"/>
      <c r="W37" s="3"/>
      <c r="X37" s="3"/>
      <c r="Y37" s="3"/>
      <c r="Z37" s="3"/>
      <c r="AA37" s="3"/>
      <c r="AB37" s="3"/>
      <c r="AC37" s="4"/>
      <c r="AD37" s="3"/>
    </row>
    <row r="38" customFormat="false" ht="15.85" hidden="false" customHeight="false" outlineLevel="0" collapsed="false">
      <c r="A38" s="6" t="s">
        <v>196</v>
      </c>
      <c r="B38" s="5" t="s">
        <v>54</v>
      </c>
      <c r="C38" s="3" t="s">
        <v>32</v>
      </c>
      <c r="D38" s="5" t="s">
        <v>197</v>
      </c>
      <c r="E38" s="5" t="s">
        <v>34</v>
      </c>
      <c r="F38" s="8" t="n">
        <v>1</v>
      </c>
      <c r="G38" s="7" t="s">
        <v>35</v>
      </c>
      <c r="H38" s="7" t="s">
        <v>198</v>
      </c>
      <c r="I38" s="7" t="s">
        <v>198</v>
      </c>
      <c r="J38" s="6" t="s">
        <v>199</v>
      </c>
      <c r="K38" s="6" t="s">
        <v>200</v>
      </c>
      <c r="L38" s="5" t="n">
        <v>3</v>
      </c>
      <c r="M38" s="5" t="s">
        <v>201</v>
      </c>
      <c r="P38" s="14" t="s">
        <v>202</v>
      </c>
      <c r="Q38" s="14" t="s">
        <v>203</v>
      </c>
      <c r="R38" s="6"/>
      <c r="S38" s="3" t="str">
        <f aca="false">_xlfn.CONCAT("preprocessing/", A38, "/outputs/45salmon_mm39_116_CDS/quant.sf")</f>
        <v>preprocessing/S4_dLGN_WT_S11/outputs/45salmon_mm39_116_CDS/quant.sf</v>
      </c>
      <c r="T38" s="6" t="n">
        <v>26818526</v>
      </c>
      <c r="U38" s="6" t="n">
        <v>24989118</v>
      </c>
      <c r="V38" s="1" t="n">
        <f aca="false">ROUND(U38/T38*100, 2)</f>
        <v>93.18</v>
      </c>
      <c r="Y38" s="6"/>
    </row>
    <row r="39" customFormat="false" ht="15.85" hidden="false" customHeight="false" outlineLevel="0" collapsed="false">
      <c r="A39" s="6" t="s">
        <v>204</v>
      </c>
      <c r="B39" s="7" t="s">
        <v>126</v>
      </c>
      <c r="C39" s="3" t="s">
        <v>32</v>
      </c>
      <c r="D39" s="7" t="s">
        <v>197</v>
      </c>
      <c r="E39" s="7" t="s">
        <v>49</v>
      </c>
      <c r="F39" s="8" t="n">
        <v>1</v>
      </c>
      <c r="G39" s="7" t="s">
        <v>35</v>
      </c>
      <c r="H39" s="7" t="s">
        <v>205</v>
      </c>
      <c r="I39" s="7" t="s">
        <v>205</v>
      </c>
      <c r="J39" s="6" t="s">
        <v>206</v>
      </c>
      <c r="K39" s="6" t="s">
        <v>207</v>
      </c>
      <c r="L39" s="7" t="n">
        <v>3</v>
      </c>
      <c r="M39" s="5" t="s">
        <v>201</v>
      </c>
      <c r="P39" s="14" t="str">
        <f aca="false">"preprocessing_230707/"&amp;A39&amp;"/outputs/40hisat2_mm38_100/mm38_100_genome-paired_sreverse_gene_ID.count.xz"</f>
        <v>preprocessing_230707/S4_SCN_WT_S18/outputs/40hisat2_mm38_100/mm38_100_genome-paired_sreverse_gene_ID.count.xz</v>
      </c>
      <c r="Q39" s="14" t="s">
        <v>208</v>
      </c>
      <c r="R39" s="6"/>
      <c r="S39" s="3" t="str">
        <f aca="false">_xlfn.CONCAT("preprocessing/", A39, "/outputs/45salmon_mm39_116_CDS/quant.sf")</f>
        <v>preprocessing/S4_SCN_WT_S18/outputs/45salmon_mm39_116_CDS/quant.sf</v>
      </c>
      <c r="T39" s="6" t="n">
        <v>27415760</v>
      </c>
      <c r="U39" s="6" t="n">
        <v>25934099</v>
      </c>
      <c r="V39" s="1" t="n">
        <f aca="false">ROUND(U39/T39*100, 2)</f>
        <v>94.6</v>
      </c>
      <c r="Y39" s="6"/>
    </row>
    <row r="40" customFormat="false" ht="15.85" hidden="false" customHeight="false" outlineLevel="0" collapsed="false">
      <c r="A40" s="6" t="s">
        <v>209</v>
      </c>
      <c r="B40" s="7" t="s">
        <v>106</v>
      </c>
      <c r="C40" s="3" t="s">
        <v>32</v>
      </c>
      <c r="D40" s="7" t="s">
        <v>197</v>
      </c>
      <c r="E40" s="7" t="s">
        <v>43</v>
      </c>
      <c r="F40" s="8" t="n">
        <v>1</v>
      </c>
      <c r="G40" s="7" t="s">
        <v>35</v>
      </c>
      <c r="H40" s="7" t="s">
        <v>210</v>
      </c>
      <c r="I40" s="7" t="s">
        <v>210</v>
      </c>
      <c r="J40" s="6" t="s">
        <v>211</v>
      </c>
      <c r="K40" s="6" t="s">
        <v>212</v>
      </c>
      <c r="L40" s="7" t="n">
        <v>3</v>
      </c>
      <c r="M40" s="5" t="s">
        <v>201</v>
      </c>
      <c r="P40" s="14" t="str">
        <f aca="false">"preprocessing_230707/"&amp;A40&amp;"/outputs/40hisat2_mm38_100/mm38_100_genome-paired_sreverse_gene_ID.count.xz"</f>
        <v>preprocessing_230707/S4_Ret_WT_S4/outputs/40hisat2_mm38_100/mm38_100_genome-paired_sreverse_gene_ID.count.xz</v>
      </c>
      <c r="Q40" s="14" t="s">
        <v>213</v>
      </c>
      <c r="R40" s="6"/>
      <c r="S40" s="3" t="str">
        <f aca="false">_xlfn.CONCAT("preprocessing/", A40, "/outputs/45salmon_mm39_116_CDS/quant.sf")</f>
        <v>preprocessing/S4_Ret_WT_S4/outputs/45salmon_mm39_116_CDS/quant.sf</v>
      </c>
      <c r="T40" s="6" t="n">
        <v>22271376</v>
      </c>
      <c r="U40" s="6" t="n">
        <v>21032135</v>
      </c>
      <c r="V40" s="1" t="n">
        <f aca="false">ROUND(U40/T40*100, 2)</f>
        <v>94.44</v>
      </c>
      <c r="Y40" s="6"/>
    </row>
    <row r="41" customFormat="false" ht="15.85" hidden="false" customHeight="false" outlineLevel="0" collapsed="false">
      <c r="A41" s="6" t="s">
        <v>214</v>
      </c>
      <c r="B41" s="7" t="s">
        <v>59</v>
      </c>
      <c r="C41" s="3" t="s">
        <v>32</v>
      </c>
      <c r="D41" s="7" t="s">
        <v>197</v>
      </c>
      <c r="E41" s="7" t="s">
        <v>34</v>
      </c>
      <c r="F41" s="8" t="n">
        <v>2</v>
      </c>
      <c r="G41" s="7" t="s">
        <v>35</v>
      </c>
      <c r="H41" s="7" t="s">
        <v>198</v>
      </c>
      <c r="I41" s="7" t="s">
        <v>198</v>
      </c>
      <c r="J41" s="6" t="s">
        <v>215</v>
      </c>
      <c r="K41" s="6" t="s">
        <v>216</v>
      </c>
      <c r="L41" s="7" t="n">
        <v>3</v>
      </c>
      <c r="M41" s="5" t="s">
        <v>201</v>
      </c>
      <c r="P41" s="14" t="str">
        <f aca="false">"preprocessing_230707/"&amp;A41&amp;"/outputs/40hisat2_mm38_100/mm38_100_genome-paired_sreverse_gene_ID.count.xz"</f>
        <v>preprocessing_230707/S3_dLGN_WT_S10/outputs/40hisat2_mm38_100/mm38_100_genome-paired_sreverse_gene_ID.count.xz</v>
      </c>
      <c r="Q41" s="14" t="s">
        <v>217</v>
      </c>
      <c r="R41" s="6"/>
      <c r="S41" s="3" t="str">
        <f aca="false">_xlfn.CONCAT("preprocessing/", A41, "/outputs/45salmon_mm39_116_CDS/quant.sf")</f>
        <v>preprocessing/S3_dLGN_WT_S10/outputs/45salmon_mm39_116_CDS/quant.sf</v>
      </c>
      <c r="T41" s="6" t="n">
        <v>21514906</v>
      </c>
      <c r="U41" s="6" t="n">
        <v>20220983</v>
      </c>
      <c r="V41" s="1" t="n">
        <f aca="false">ROUND(U41/T41*100, 2)</f>
        <v>93.99</v>
      </c>
      <c r="Y41" s="6"/>
    </row>
    <row r="42" customFormat="false" ht="15.85" hidden="false" customHeight="false" outlineLevel="0" collapsed="false">
      <c r="A42" s="6" t="s">
        <v>218</v>
      </c>
      <c r="B42" s="7" t="s">
        <v>86</v>
      </c>
      <c r="C42" s="3" t="s">
        <v>32</v>
      </c>
      <c r="D42" s="7" t="s">
        <v>71</v>
      </c>
      <c r="E42" s="7" t="s">
        <v>34</v>
      </c>
      <c r="F42" s="1" t="n">
        <v>2</v>
      </c>
      <c r="G42" s="7" t="s">
        <v>35</v>
      </c>
      <c r="H42" s="7" t="s">
        <v>137</v>
      </c>
      <c r="I42" s="7" t="s">
        <v>137</v>
      </c>
      <c r="J42" s="6" t="s">
        <v>219</v>
      </c>
      <c r="K42" s="6" t="s">
        <v>220</v>
      </c>
      <c r="L42" s="7" t="n">
        <v>3</v>
      </c>
      <c r="M42" s="5" t="s">
        <v>201</v>
      </c>
      <c r="P42" s="14" t="str">
        <f aca="false">"preprocessing_230707/"&amp;A42&amp;"/outputs/40hisat2_mm38_100/mm38_100_genome-paired_sreverse_gene_ID.count.xz"</f>
        <v>preprocessing_230707/S3_dLGN_Het_S14/outputs/40hisat2_mm38_100/mm38_100_genome-paired_sreverse_gene_ID.count.xz</v>
      </c>
      <c r="Q42" s="14" t="s">
        <v>221</v>
      </c>
      <c r="R42" s="6"/>
      <c r="S42" s="3" t="str">
        <f aca="false">_xlfn.CONCAT("preprocessing/", A42, "/outputs/45salmon_mm39_116_CDS/quant.sf")</f>
        <v>preprocessing/S3_dLGN_Het_S14/outputs/45salmon_mm39_116_CDS/quant.sf</v>
      </c>
      <c r="T42" s="6" t="n">
        <v>9465319</v>
      </c>
      <c r="U42" s="6" t="n">
        <v>8910410</v>
      </c>
      <c r="V42" s="1" t="n">
        <f aca="false">ROUND(U42/T42*100, 2)</f>
        <v>94.14</v>
      </c>
      <c r="Y42" s="6"/>
    </row>
    <row r="43" customFormat="false" ht="15.85" hidden="false" customHeight="false" outlineLevel="0" collapsed="false">
      <c r="A43" s="15" t="s">
        <v>222</v>
      </c>
      <c r="B43" s="7" t="s">
        <v>64</v>
      </c>
      <c r="C43" s="3" t="s">
        <v>32</v>
      </c>
      <c r="D43" s="7" t="s">
        <v>71</v>
      </c>
      <c r="E43" s="7" t="s">
        <v>34</v>
      </c>
      <c r="F43" s="8" t="n">
        <v>9</v>
      </c>
      <c r="G43" s="7" t="s">
        <v>35</v>
      </c>
      <c r="H43" s="7" t="s">
        <v>137</v>
      </c>
      <c r="I43" s="7" t="s">
        <v>137</v>
      </c>
      <c r="J43" s="1" t="str">
        <f aca="false">A43&amp;"_R1_001.fastq.gz"</f>
        <v>S1_dLGN_Het_S12_R1_001.fastq.gz</v>
      </c>
      <c r="K43" s="1" t="str">
        <f aca="false">A43&amp;"_R2_001.fastq.gz"</f>
        <v>S1_dLGN_Het_S12_R2_001.fastq.gz</v>
      </c>
      <c r="L43" s="7" t="n">
        <v>3</v>
      </c>
      <c r="M43" s="5" t="s">
        <v>201</v>
      </c>
      <c r="P43" s="14" t="str">
        <f aca="false">"preprocessing_230707/"&amp;A43&amp;"/outputs/40hisat2_mm38_100/mm38_100_genome-paired_sreverse_gene_ID.count.xz"</f>
        <v>preprocessing_230707/S1_dLGN_Het_S12/outputs/40hisat2_mm38_100/mm38_100_genome-paired_sreverse_gene_ID.count.xz</v>
      </c>
      <c r="Q43" s="14" t="s">
        <v>203</v>
      </c>
      <c r="R43" s="15"/>
      <c r="S43" s="3" t="str">
        <f aca="false">_xlfn.CONCAT("preprocessing/", A43, "/outputs/45salmon_mm39_116_CDS/quant.sf")</f>
        <v>preprocessing/S1_dLGN_Het_S12/outputs/45salmon_mm39_116_CDS/quant.sf</v>
      </c>
      <c r="T43" s="6" t="n">
        <v>26830119</v>
      </c>
      <c r="U43" s="6" t="n">
        <v>25138910</v>
      </c>
      <c r="V43" s="1" t="n">
        <f aca="false">ROUND(U43/T43*100, 2)</f>
        <v>93.7</v>
      </c>
      <c r="Y43" s="6"/>
    </row>
    <row r="44" customFormat="false" ht="15.85" hidden="false" customHeight="false" outlineLevel="0" collapsed="false">
      <c r="A44" s="15" t="s">
        <v>223</v>
      </c>
      <c r="B44" s="7" t="s">
        <v>31</v>
      </c>
      <c r="C44" s="3" t="s">
        <v>32</v>
      </c>
      <c r="D44" s="7" t="s">
        <v>197</v>
      </c>
      <c r="E44" s="7" t="s">
        <v>34</v>
      </c>
      <c r="F44" s="8" t="n">
        <v>10</v>
      </c>
      <c r="G44" s="7" t="s">
        <v>35</v>
      </c>
      <c r="H44" s="1" t="str">
        <f aca="false">E44&amp;"_"&amp;D44</f>
        <v>dLGN_wt</v>
      </c>
      <c r="I44" s="1" t="str">
        <f aca="false">E44&amp;"_"&amp;D44</f>
        <v>dLGN_wt</v>
      </c>
      <c r="J44" s="1" t="str">
        <f aca="false">A44&amp;"_R1_001.fastq.gz"</f>
        <v>S1_dLGN_WT_S8_R1_001.fastq.gz</v>
      </c>
      <c r="K44" s="1" t="str">
        <f aca="false">A44&amp;"_R2_001.fastq.gz"</f>
        <v>S1_dLGN_WT_S8_R2_001.fastq.gz</v>
      </c>
      <c r="L44" s="7" t="n">
        <v>3</v>
      </c>
      <c r="M44" s="5" t="s">
        <v>201</v>
      </c>
      <c r="P44" s="14" t="str">
        <f aca="false">"preprocessing_230707/"&amp;A44&amp;"/outputs/40hisat2_mm38_100/mm38_100_genome-paired_sreverse_gene_ID.count.xz"</f>
        <v>preprocessing_230707/S1_dLGN_WT_S8/outputs/40hisat2_mm38_100/mm38_100_genome-paired_sreverse_gene_ID.count.xz</v>
      </c>
      <c r="Q44" s="14" t="s">
        <v>224</v>
      </c>
      <c r="R44" s="15"/>
      <c r="S44" s="3" t="str">
        <f aca="false">_xlfn.CONCAT("preprocessing/", A44, "/outputs/45salmon_mm39_116_CDS/quant.sf")</f>
        <v>preprocessing/S1_dLGN_WT_S8/outputs/45salmon_mm39_116_CDS/quant.sf</v>
      </c>
      <c r="T44" s="6" t="n">
        <v>27159405</v>
      </c>
      <c r="U44" s="6" t="n">
        <v>25579331</v>
      </c>
      <c r="V44" s="1" t="n">
        <f aca="false">ROUND(U44/T44*100, 2)</f>
        <v>94.18</v>
      </c>
      <c r="Y44" s="6"/>
    </row>
    <row r="45" customFormat="false" ht="15.85" hidden="false" customHeight="false" outlineLevel="0" collapsed="false">
      <c r="A45" s="15" t="s">
        <v>225</v>
      </c>
      <c r="B45" s="7" t="s">
        <v>101</v>
      </c>
      <c r="C45" s="3" t="s">
        <v>32</v>
      </c>
      <c r="D45" s="7" t="s">
        <v>71</v>
      </c>
      <c r="E45" s="7" t="s">
        <v>43</v>
      </c>
      <c r="F45" s="8" t="n">
        <v>9</v>
      </c>
      <c r="G45" s="7" t="s">
        <v>35</v>
      </c>
      <c r="H45" s="1" t="str">
        <f aca="false">E45&amp;"_"&amp;D45</f>
        <v>Retina_het</v>
      </c>
      <c r="I45" s="1" t="str">
        <f aca="false">E45&amp;"_"&amp;D45</f>
        <v>Retina_het</v>
      </c>
      <c r="J45" s="1" t="str">
        <f aca="false">A45&amp;"_R1_001.fastq.gz"</f>
        <v>S1_Ret_Het_S5_R1_001.fastq.gz</v>
      </c>
      <c r="K45" s="1" t="str">
        <f aca="false">A45&amp;"_R2_001.fastq.gz"</f>
        <v>S1_Ret_Het_S5_R2_001.fastq.gz</v>
      </c>
      <c r="L45" s="7" t="n">
        <v>3</v>
      </c>
      <c r="M45" s="5" t="s">
        <v>201</v>
      </c>
      <c r="P45" s="14" t="str">
        <f aca="false">"preprocessing_230707/"&amp;A45&amp;"/outputs/40hisat2_mm38_100/mm38_100_genome-paired_sreverse_gene_ID.count.xz"</f>
        <v>preprocessing_230707/S1_Ret_Het_S5/outputs/40hisat2_mm38_100/mm38_100_genome-paired_sreverse_gene_ID.count.xz</v>
      </c>
      <c r="Q45" s="14" t="s">
        <v>226</v>
      </c>
      <c r="R45" s="15"/>
      <c r="S45" s="3" t="str">
        <f aca="false">_xlfn.CONCAT("preprocessing/", A45, "/outputs/45salmon_mm39_116_CDS/quant.sf")</f>
        <v>preprocessing/S1_Ret_Het_S5/outputs/45salmon_mm39_116_CDS/quant.sf</v>
      </c>
      <c r="T45" s="6" t="n">
        <v>27149528</v>
      </c>
      <c r="U45" s="6" t="n">
        <v>25608860</v>
      </c>
      <c r="V45" s="1" t="n">
        <f aca="false">ROUND(U45/T45*100, 2)</f>
        <v>94.33</v>
      </c>
      <c r="Y45" s="6"/>
    </row>
    <row r="46" customFormat="false" ht="15.85" hidden="false" customHeight="false" outlineLevel="0" collapsed="false">
      <c r="A46" s="15" t="s">
        <v>227</v>
      </c>
      <c r="B46" s="7" t="s">
        <v>76</v>
      </c>
      <c r="C46" s="3" t="s">
        <v>32</v>
      </c>
      <c r="D46" s="7" t="s">
        <v>197</v>
      </c>
      <c r="E46" s="7" t="s">
        <v>43</v>
      </c>
      <c r="F46" s="8" t="n">
        <v>2</v>
      </c>
      <c r="G46" s="7" t="s">
        <v>35</v>
      </c>
      <c r="H46" s="1" t="str">
        <f aca="false">E46&amp;"_"&amp;D46</f>
        <v>Retina_wt</v>
      </c>
      <c r="I46" s="1" t="str">
        <f aca="false">E46&amp;"_"&amp;D46</f>
        <v>Retina_wt</v>
      </c>
      <c r="J46" s="1" t="str">
        <f aca="false">A46&amp;"_R1_001.fastq.gz"</f>
        <v>S1_Ret_WT_S1_R1_001.fastq.gz</v>
      </c>
      <c r="K46" s="1" t="str">
        <f aca="false">A46&amp;"_R2_001.fastq.gz"</f>
        <v>S1_Ret_WT_S1_R2_001.fastq.gz</v>
      </c>
      <c r="L46" s="7" t="n">
        <v>3</v>
      </c>
      <c r="M46" s="5" t="s">
        <v>201</v>
      </c>
      <c r="P46" s="14" t="str">
        <f aca="false">"preprocessing_230707/"&amp;A46&amp;"/outputs/40hisat2_mm38_100/mm38_100_genome-paired_sreverse_gene_ID.count.xz"</f>
        <v>preprocessing_230707/S1_Ret_WT_S1/outputs/40hisat2_mm38_100/mm38_100_genome-paired_sreverse_gene_ID.count.xz</v>
      </c>
      <c r="Q46" s="14" t="s">
        <v>228</v>
      </c>
      <c r="R46" s="15"/>
      <c r="S46" s="3" t="str">
        <f aca="false">_xlfn.CONCAT("preprocessing/", A46, "/outputs/45salmon_mm39_116_CDS/quant.sf")</f>
        <v>preprocessing/S1_Ret_WT_S1/outputs/45salmon_mm39_116_CDS/quant.sf</v>
      </c>
      <c r="T46" s="6" t="n">
        <v>22908369</v>
      </c>
      <c r="U46" s="6" t="n">
        <v>21583844</v>
      </c>
      <c r="V46" s="1" t="n">
        <f aca="false">ROUND(U46/T46*100, 2)</f>
        <v>94.22</v>
      </c>
      <c r="Y46" s="6"/>
    </row>
    <row r="47" customFormat="false" ht="15.85" hidden="false" customHeight="false" outlineLevel="0" collapsed="false">
      <c r="A47" s="15" t="s">
        <v>229</v>
      </c>
      <c r="B47" s="7" t="s">
        <v>230</v>
      </c>
      <c r="C47" s="3" t="s">
        <v>32</v>
      </c>
      <c r="D47" s="7" t="s">
        <v>71</v>
      </c>
      <c r="E47" s="7" t="s">
        <v>49</v>
      </c>
      <c r="F47" s="8" t="n">
        <v>9</v>
      </c>
      <c r="G47" s="7" t="s">
        <v>35</v>
      </c>
      <c r="H47" s="1" t="str">
        <f aca="false">E47&amp;"_"&amp;D47</f>
        <v>SCN_het</v>
      </c>
      <c r="I47" s="1" t="str">
        <f aca="false">E47&amp;"_"&amp;D47</f>
        <v>SCN_het</v>
      </c>
      <c r="J47" s="1" t="str">
        <f aca="false">A47&amp;"_R1_001.fastq.gz"</f>
        <v>S1_SCN_Het_S19_R1_001.fastq.gz</v>
      </c>
      <c r="K47" s="1" t="str">
        <f aca="false">A47&amp;"_R2_001.fastq.gz"</f>
        <v>S1_SCN_Het_S19_R2_001.fastq.gz</v>
      </c>
      <c r="L47" s="7" t="n">
        <v>3</v>
      </c>
      <c r="M47" s="5" t="s">
        <v>201</v>
      </c>
      <c r="P47" s="14" t="str">
        <f aca="false">"preprocessing_230707/"&amp;A47&amp;"/outputs/40hisat2_mm38_100/mm38_100_genome-paired_sreverse_gene_ID.count.xz"</f>
        <v>preprocessing_230707/S1_SCN_Het_S19/outputs/40hisat2_mm38_100/mm38_100_genome-paired_sreverse_gene_ID.count.xz</v>
      </c>
      <c r="Q47" s="14" t="s">
        <v>231</v>
      </c>
      <c r="R47" s="15"/>
      <c r="S47" s="3" t="str">
        <f aca="false">_xlfn.CONCAT("preprocessing/", A47, "/outputs/45salmon_mm39_116_CDS/quant.sf")</f>
        <v>preprocessing/S1_SCN_Het_S19/outputs/45salmon_mm39_116_CDS/quant.sf</v>
      </c>
      <c r="T47" s="6" t="n">
        <v>35572574</v>
      </c>
      <c r="U47" s="6" t="n">
        <v>33580923</v>
      </c>
      <c r="V47" s="1" t="n">
        <f aca="false">ROUND(U47/T47*100, 2)</f>
        <v>94.4</v>
      </c>
      <c r="Y47" s="6"/>
    </row>
    <row r="48" customFormat="false" ht="15.85" hidden="false" customHeight="false" outlineLevel="0" collapsed="false">
      <c r="A48" s="15" t="s">
        <v>232</v>
      </c>
      <c r="B48" s="7" t="s">
        <v>96</v>
      </c>
      <c r="C48" s="3" t="s">
        <v>32</v>
      </c>
      <c r="D48" s="7" t="s">
        <v>197</v>
      </c>
      <c r="E48" s="7" t="s">
        <v>49</v>
      </c>
      <c r="F48" s="8" t="n">
        <v>2</v>
      </c>
      <c r="G48" s="7" t="s">
        <v>35</v>
      </c>
      <c r="H48" s="1" t="str">
        <f aca="false">E48&amp;"_"&amp;D48</f>
        <v>SCN_wt</v>
      </c>
      <c r="I48" s="1" t="str">
        <f aca="false">E48&amp;"_"&amp;D48</f>
        <v>SCN_wt</v>
      </c>
      <c r="J48" s="1" t="str">
        <f aca="false">A48&amp;"_R1_001.fastq.gz"</f>
        <v>S1_SCN_WT_S15_R1_001.fastq.gz</v>
      </c>
      <c r="K48" s="1" t="str">
        <f aca="false">A48&amp;"_R2_001.fastq.gz"</f>
        <v>S1_SCN_WT_S15_R2_001.fastq.gz</v>
      </c>
      <c r="L48" s="7" t="n">
        <v>3</v>
      </c>
      <c r="M48" s="5" t="s">
        <v>201</v>
      </c>
      <c r="P48" s="14" t="str">
        <f aca="false">"preprocessing_230707/"&amp;A48&amp;"/outputs/40hisat2_mm38_100/mm38_100_genome-paired_sreverse_gene_ID.count.xz"</f>
        <v>preprocessing_230707/S1_SCN_WT_S15/outputs/40hisat2_mm38_100/mm38_100_genome-paired_sreverse_gene_ID.count.xz</v>
      </c>
      <c r="Q48" s="14" t="s">
        <v>233</v>
      </c>
      <c r="R48" s="15"/>
      <c r="S48" s="3" t="str">
        <f aca="false">_xlfn.CONCAT("preprocessing/", A48, "/outputs/45salmon_mm39_116_CDS/quant.sf")</f>
        <v>preprocessing/S1_SCN_WT_S15/outputs/45salmon_mm39_116_CDS/quant.sf</v>
      </c>
      <c r="T48" s="6" t="n">
        <v>25466913</v>
      </c>
      <c r="U48" s="6" t="n">
        <v>24060063</v>
      </c>
      <c r="V48" s="1" t="n">
        <f aca="false">ROUND(U48/T48*100, 2)</f>
        <v>94.48</v>
      </c>
      <c r="Y48" s="6"/>
    </row>
    <row r="49" customFormat="false" ht="15.85" hidden="false" customHeight="false" outlineLevel="0" collapsed="false">
      <c r="A49" s="15" t="s">
        <v>234</v>
      </c>
      <c r="B49" s="7" t="s">
        <v>91</v>
      </c>
      <c r="C49" s="3" t="s">
        <v>32</v>
      </c>
      <c r="D49" s="7" t="s">
        <v>71</v>
      </c>
      <c r="E49" s="7" t="s">
        <v>34</v>
      </c>
      <c r="F49" s="8" t="n">
        <v>10</v>
      </c>
      <c r="G49" s="7" t="s">
        <v>35</v>
      </c>
      <c r="H49" s="1" t="str">
        <f aca="false">E49&amp;"_"&amp;D49</f>
        <v>dLGN_het</v>
      </c>
      <c r="I49" s="1" t="str">
        <f aca="false">E49&amp;"_"&amp;D49</f>
        <v>dLGN_het</v>
      </c>
      <c r="J49" s="1" t="str">
        <f aca="false">A49&amp;"_R1_001.fastq.gz"</f>
        <v>S2_dLGN_Het_S13_R1_001.fastq.gz</v>
      </c>
      <c r="K49" s="1" t="str">
        <f aca="false">A49&amp;"_R2_001.fastq.gz"</f>
        <v>S2_dLGN_Het_S13_R2_001.fastq.gz</v>
      </c>
      <c r="L49" s="7" t="n">
        <v>3</v>
      </c>
      <c r="M49" s="5" t="s">
        <v>201</v>
      </c>
      <c r="P49" s="14" t="str">
        <f aca="false">"preprocessing_230707/"&amp;A49&amp;"/outputs/40hisat2_mm38_100/mm38_100_genome-paired_sreverse_gene_ID.count.xz"</f>
        <v>preprocessing_230707/S2_dLGN_Het_S13/outputs/40hisat2_mm38_100/mm38_100_genome-paired_sreverse_gene_ID.count.xz</v>
      </c>
      <c r="Q49" s="14" t="s">
        <v>235</v>
      </c>
      <c r="R49" s="15"/>
      <c r="S49" s="3" t="str">
        <f aca="false">_xlfn.CONCAT("preprocessing/", A49, "/outputs/45salmon_mm39_116_CDS/quant.sf")</f>
        <v>preprocessing/S2_dLGN_Het_S13/outputs/45salmon_mm39_116_CDS/quant.sf</v>
      </c>
      <c r="T49" s="6" t="n">
        <v>29161464</v>
      </c>
      <c r="U49" s="6" t="n">
        <v>27453287</v>
      </c>
      <c r="V49" s="1" t="n">
        <f aca="false">ROUND(U49/T49*100, 2)</f>
        <v>94.14</v>
      </c>
      <c r="Y49" s="6"/>
    </row>
    <row r="50" customFormat="false" ht="15.85" hidden="false" customHeight="false" outlineLevel="0" collapsed="false">
      <c r="A50" s="15" t="s">
        <v>236</v>
      </c>
      <c r="B50" s="7" t="s">
        <v>48</v>
      </c>
      <c r="C50" s="3" t="s">
        <v>32</v>
      </c>
      <c r="D50" s="7" t="s">
        <v>197</v>
      </c>
      <c r="E50" s="7" t="s">
        <v>34</v>
      </c>
      <c r="F50" s="8" t="n">
        <v>11</v>
      </c>
      <c r="G50" s="7" t="s">
        <v>35</v>
      </c>
      <c r="H50" s="1" t="str">
        <f aca="false">E50&amp;"_"&amp;D50</f>
        <v>dLGN_wt</v>
      </c>
      <c r="I50" s="1" t="str">
        <f aca="false">E50&amp;"_"&amp;D50</f>
        <v>dLGN_wt</v>
      </c>
      <c r="J50" s="1" t="str">
        <f aca="false">A50&amp;"_R1_001.fastq.gz"</f>
        <v>S2_dLGN_WT_S9_R1_001.fastq.gz</v>
      </c>
      <c r="K50" s="1" t="str">
        <f aca="false">A50&amp;"_R2_001.fastq.gz"</f>
        <v>S2_dLGN_WT_S9_R2_001.fastq.gz</v>
      </c>
      <c r="L50" s="7" t="n">
        <v>3</v>
      </c>
      <c r="M50" s="5" t="s">
        <v>201</v>
      </c>
      <c r="P50" s="14" t="str">
        <f aca="false">"preprocessing_230707/"&amp;A50&amp;"/outputs/40hisat2_mm38_100/mm38_100_genome-paired_sreverse_gene_ID.count.xz"</f>
        <v>preprocessing_230707/S2_dLGN_WT_S9/outputs/40hisat2_mm38_100/mm38_100_genome-paired_sreverse_gene_ID.count.xz</v>
      </c>
      <c r="Q50" s="14" t="s">
        <v>237</v>
      </c>
      <c r="R50" s="15"/>
      <c r="S50" s="3" t="str">
        <f aca="false">_xlfn.CONCAT("preprocessing/", A50, "/outputs/45salmon_mm39_116_CDS/quant.sf")</f>
        <v>preprocessing/S2_dLGN_WT_S9/outputs/45salmon_mm39_116_CDS/quant.sf</v>
      </c>
      <c r="T50" s="6" t="n">
        <v>24970349</v>
      </c>
      <c r="U50" s="6" t="n">
        <v>23416532</v>
      </c>
      <c r="V50" s="1" t="n">
        <f aca="false">ROUND(U50/T50*100, 2)</f>
        <v>93.78</v>
      </c>
      <c r="Y50" s="6"/>
    </row>
    <row r="51" customFormat="false" ht="15.85" hidden="false" customHeight="false" outlineLevel="0" collapsed="false">
      <c r="A51" s="15" t="s">
        <v>238</v>
      </c>
      <c r="B51" s="7" t="s">
        <v>111</v>
      </c>
      <c r="C51" s="3" t="s">
        <v>32</v>
      </c>
      <c r="D51" s="7" t="s">
        <v>71</v>
      </c>
      <c r="E51" s="7" t="s">
        <v>43</v>
      </c>
      <c r="F51" s="8" t="n">
        <v>10</v>
      </c>
      <c r="G51" s="7" t="s">
        <v>35</v>
      </c>
      <c r="H51" s="1" t="str">
        <f aca="false">E51&amp;"_"&amp;D51</f>
        <v>Retina_het</v>
      </c>
      <c r="I51" s="1" t="str">
        <f aca="false">E51&amp;"_"&amp;D51</f>
        <v>Retina_het</v>
      </c>
      <c r="J51" s="1" t="str">
        <f aca="false">A51&amp;"_R1_001.fastq.gz"</f>
        <v>S2_Ret_Het_S6_R1_001.fastq.gz</v>
      </c>
      <c r="K51" s="1" t="str">
        <f aca="false">A51&amp;"_R2_001.fastq.gz"</f>
        <v>S2_Ret_Het_S6_R2_001.fastq.gz</v>
      </c>
      <c r="L51" s="7" t="n">
        <v>3</v>
      </c>
      <c r="M51" s="5" t="s">
        <v>201</v>
      </c>
      <c r="P51" s="14" t="str">
        <f aca="false">"preprocessing_230707/"&amp;A51&amp;"/outputs/40hisat2_mm38_100/mm38_100_genome-paired_sreverse_gene_ID.count.xz"</f>
        <v>preprocessing_230707/S2_Ret_Het_S6/outputs/40hisat2_mm38_100/mm38_100_genome-paired_sreverse_gene_ID.count.xz</v>
      </c>
      <c r="Q51" s="14" t="s">
        <v>239</v>
      </c>
      <c r="R51" s="15"/>
      <c r="S51" s="3" t="str">
        <f aca="false">_xlfn.CONCAT("preprocessing/", A51, "/outputs/45salmon_mm39_116_CDS/quant.sf")</f>
        <v>preprocessing/S2_Ret_Het_S6/outputs/45salmon_mm39_116_CDS/quant.sf</v>
      </c>
      <c r="T51" s="6" t="n">
        <v>23954663</v>
      </c>
      <c r="U51" s="6" t="n">
        <v>22598661</v>
      </c>
      <c r="V51" s="1" t="n">
        <f aca="false">ROUND(U51/T51*100, 2)</f>
        <v>94.34</v>
      </c>
      <c r="Y51" s="6"/>
    </row>
    <row r="52" customFormat="false" ht="15.85" hidden="false" customHeight="false" outlineLevel="0" collapsed="false">
      <c r="A52" s="15" t="s">
        <v>240</v>
      </c>
      <c r="B52" s="7" t="s">
        <v>69</v>
      </c>
      <c r="C52" s="3" t="s">
        <v>32</v>
      </c>
      <c r="D52" s="7" t="s">
        <v>197</v>
      </c>
      <c r="E52" s="7" t="s">
        <v>43</v>
      </c>
      <c r="F52" s="8" t="n">
        <v>3</v>
      </c>
      <c r="G52" s="7" t="s">
        <v>35</v>
      </c>
      <c r="H52" s="1" t="str">
        <f aca="false">E52&amp;"_"&amp;D52</f>
        <v>Retina_wt</v>
      </c>
      <c r="I52" s="1" t="str">
        <f aca="false">E52&amp;"_"&amp;D52</f>
        <v>Retina_wt</v>
      </c>
      <c r="J52" s="1" t="str">
        <f aca="false">A52&amp;"_R1_001.fastq.gz"</f>
        <v>S2_Ret_WT_S2_R1_001.fastq.gz</v>
      </c>
      <c r="K52" s="1" t="str">
        <f aca="false">A52&amp;"_R2_001.fastq.gz"</f>
        <v>S2_Ret_WT_S2_R2_001.fastq.gz</v>
      </c>
      <c r="L52" s="7" t="n">
        <v>3</v>
      </c>
      <c r="M52" s="5" t="s">
        <v>201</v>
      </c>
      <c r="P52" s="14" t="str">
        <f aca="false">"preprocessing_230707/"&amp;A52&amp;"/outputs/40hisat2_mm38_100/mm38_100_genome-paired_sreverse_gene_ID.count.xz"</f>
        <v>preprocessing_230707/S2_Ret_WT_S2/outputs/40hisat2_mm38_100/mm38_100_genome-paired_sreverse_gene_ID.count.xz</v>
      </c>
      <c r="Q52" s="14" t="s">
        <v>241</v>
      </c>
      <c r="R52" s="15"/>
      <c r="S52" s="3" t="str">
        <f aca="false">_xlfn.CONCAT("preprocessing/", A52, "/outputs/45salmon_mm39_116_CDS/quant.sf")</f>
        <v>preprocessing/S2_Ret_WT_S2/outputs/45salmon_mm39_116_CDS/quant.sf</v>
      </c>
      <c r="T52" s="6" t="n">
        <v>29928850</v>
      </c>
      <c r="U52" s="6" t="n">
        <v>28113021</v>
      </c>
      <c r="V52" s="1" t="n">
        <f aca="false">ROUND(U52/T52*100, 2)</f>
        <v>93.93</v>
      </c>
      <c r="Y52" s="6"/>
    </row>
    <row r="53" customFormat="false" ht="15.85" hidden="false" customHeight="false" outlineLevel="0" collapsed="false">
      <c r="A53" s="15" t="s">
        <v>242</v>
      </c>
      <c r="B53" s="7" t="s">
        <v>243</v>
      </c>
      <c r="C53" s="3" t="s">
        <v>32</v>
      </c>
      <c r="D53" s="7" t="s">
        <v>71</v>
      </c>
      <c r="E53" s="7" t="s">
        <v>49</v>
      </c>
      <c r="F53" s="8" t="n">
        <v>10</v>
      </c>
      <c r="G53" s="7" t="s">
        <v>35</v>
      </c>
      <c r="H53" s="1" t="str">
        <f aca="false">E53&amp;"_"&amp;D53</f>
        <v>SCN_het</v>
      </c>
      <c r="I53" s="1" t="str">
        <f aca="false">E53&amp;"_"&amp;D53</f>
        <v>SCN_het</v>
      </c>
      <c r="J53" s="1" t="str">
        <f aca="false">A53&amp;"_R1_001.fastq.gz"</f>
        <v>S2_SCN_Het_S20_R1_001.fastq.gz</v>
      </c>
      <c r="K53" s="1" t="str">
        <f aca="false">A53&amp;"_R2_001.fastq.gz"</f>
        <v>S2_SCN_Het_S20_R2_001.fastq.gz</v>
      </c>
      <c r="L53" s="7" t="n">
        <v>3</v>
      </c>
      <c r="M53" s="5" t="s">
        <v>201</v>
      </c>
      <c r="P53" s="14" t="str">
        <f aca="false">"preprocessing_230707/"&amp;A53&amp;"/outputs/40hisat2_mm38_100/mm38_100_genome-paired_sreverse_gene_ID.count.xz"</f>
        <v>preprocessing_230707/S2_SCN_Het_S20/outputs/40hisat2_mm38_100/mm38_100_genome-paired_sreverse_gene_ID.count.xz</v>
      </c>
      <c r="Q53" s="14" t="s">
        <v>244</v>
      </c>
      <c r="R53" s="15"/>
      <c r="S53" s="3" t="str">
        <f aca="false">_xlfn.CONCAT("preprocessing/", A53, "/outputs/45salmon_mm39_116_CDS/quant.sf")</f>
        <v>preprocessing/S2_SCN_Het_S20/outputs/45salmon_mm39_116_CDS/quant.sf</v>
      </c>
      <c r="T53" s="6" t="n">
        <v>21996065</v>
      </c>
      <c r="U53" s="6" t="n">
        <v>20623264</v>
      </c>
      <c r="V53" s="1" t="n">
        <f aca="false">ROUND(U53/T53*100, 2)</f>
        <v>93.76</v>
      </c>
      <c r="Y53" s="6"/>
    </row>
    <row r="54" customFormat="false" ht="15.85" hidden="false" customHeight="false" outlineLevel="0" collapsed="false">
      <c r="A54" s="15" t="s">
        <v>245</v>
      </c>
      <c r="B54" s="7" t="s">
        <v>121</v>
      </c>
      <c r="C54" s="3" t="s">
        <v>32</v>
      </c>
      <c r="D54" s="7" t="s">
        <v>197</v>
      </c>
      <c r="E54" s="7" t="s">
        <v>49</v>
      </c>
      <c r="F54" s="8" t="n">
        <v>3</v>
      </c>
      <c r="G54" s="7" t="s">
        <v>35</v>
      </c>
      <c r="H54" s="1" t="str">
        <f aca="false">E54&amp;"_"&amp;D54</f>
        <v>SCN_wt</v>
      </c>
      <c r="I54" s="1" t="str">
        <f aca="false">E54&amp;"_"&amp;D54</f>
        <v>SCN_wt</v>
      </c>
      <c r="J54" s="1" t="str">
        <f aca="false">A54&amp;"_R1_001.fastq.gz"</f>
        <v>S2_SCN_WT_S16_R1_001.fastq.gz</v>
      </c>
      <c r="K54" s="1" t="str">
        <f aca="false">A54&amp;"_R2_001.fastq.gz"</f>
        <v>S2_SCN_WT_S16_R2_001.fastq.gz</v>
      </c>
      <c r="L54" s="7" t="n">
        <v>3</v>
      </c>
      <c r="M54" s="5" t="s">
        <v>201</v>
      </c>
      <c r="P54" s="14" t="str">
        <f aca="false">"preprocessing_230707/"&amp;A54&amp;"/outputs/40hisat2_mm38_100/mm38_100_genome-paired_sreverse_gene_ID.count.xz"</f>
        <v>preprocessing_230707/S2_SCN_WT_S16/outputs/40hisat2_mm38_100/mm38_100_genome-paired_sreverse_gene_ID.count.xz</v>
      </c>
      <c r="Q54" s="14" t="s">
        <v>246</v>
      </c>
      <c r="R54" s="15"/>
      <c r="S54" s="3" t="str">
        <f aca="false">_xlfn.CONCAT("preprocessing/", A54, "/outputs/45salmon_mm39_116_CDS/quant.sf")</f>
        <v>preprocessing/S2_SCN_WT_S16/outputs/45salmon_mm39_116_CDS/quant.sf</v>
      </c>
      <c r="T54" s="6" t="n">
        <v>25555455</v>
      </c>
      <c r="U54" s="6" t="n">
        <v>24123599</v>
      </c>
      <c r="V54" s="1" t="n">
        <f aca="false">ROUND(U54/T54*100, 2)</f>
        <v>94.4</v>
      </c>
      <c r="Y54" s="6"/>
    </row>
    <row r="55" customFormat="false" ht="15.85" hidden="false" customHeight="false" outlineLevel="0" collapsed="false">
      <c r="A55" s="15" t="s">
        <v>247</v>
      </c>
      <c r="B55" s="7" t="s">
        <v>42</v>
      </c>
      <c r="C55" s="3" t="s">
        <v>32</v>
      </c>
      <c r="D55" s="7" t="s">
        <v>71</v>
      </c>
      <c r="E55" s="7" t="s">
        <v>43</v>
      </c>
      <c r="F55" s="8" t="n">
        <v>11</v>
      </c>
      <c r="G55" s="7" t="s">
        <v>35</v>
      </c>
      <c r="H55" s="1" t="str">
        <f aca="false">E55&amp;"_"&amp;D55</f>
        <v>Retina_het</v>
      </c>
      <c r="I55" s="1" t="str">
        <f aca="false">E55&amp;"_"&amp;D55</f>
        <v>Retina_het</v>
      </c>
      <c r="J55" s="1" t="str">
        <f aca="false">A55&amp;"_R1_001.fastq.gz"</f>
        <v>S3_Ret_Het_S7_R1_001.fastq.gz</v>
      </c>
      <c r="K55" s="1" t="str">
        <f aca="false">A55&amp;"_R2_001.fastq.gz"</f>
        <v>S3_Ret_Het_S7_R2_001.fastq.gz</v>
      </c>
      <c r="L55" s="7" t="n">
        <v>3</v>
      </c>
      <c r="M55" s="5" t="s">
        <v>201</v>
      </c>
      <c r="P55" s="14" t="str">
        <f aca="false">"preprocessing_230707/"&amp;A55&amp;"/outputs/40hisat2_mm38_100/mm38_100_genome-paired_sreverse_gene_ID.count.xz"</f>
        <v>preprocessing_230707/S3_Ret_Het_S7/outputs/40hisat2_mm38_100/mm38_100_genome-paired_sreverse_gene_ID.count.xz</v>
      </c>
      <c r="Q55" s="14" t="s">
        <v>248</v>
      </c>
      <c r="R55" s="15"/>
      <c r="S55" s="3" t="str">
        <f aca="false">_xlfn.CONCAT("preprocessing/", A55, "/outputs/45salmon_mm39_116_CDS/quant.sf")</f>
        <v>preprocessing/S3_Ret_Het_S7/outputs/45salmon_mm39_116_CDS/quant.sf</v>
      </c>
      <c r="T55" s="6" t="n">
        <v>26418853</v>
      </c>
      <c r="U55" s="6" t="n">
        <v>24974178</v>
      </c>
      <c r="V55" s="1" t="n">
        <f aca="false">ROUND(U55/T55*100, 2)</f>
        <v>94.53</v>
      </c>
      <c r="Y55" s="6"/>
    </row>
    <row r="56" customFormat="false" ht="15.85" hidden="false" customHeight="false" outlineLevel="0" collapsed="false">
      <c r="A56" s="15" t="s">
        <v>249</v>
      </c>
      <c r="B56" s="7" t="s">
        <v>81</v>
      </c>
      <c r="C56" s="3" t="s">
        <v>32</v>
      </c>
      <c r="D56" s="7" t="s">
        <v>197</v>
      </c>
      <c r="E56" s="7" t="s">
        <v>43</v>
      </c>
      <c r="F56" s="8" t="n">
        <v>4</v>
      </c>
      <c r="G56" s="7" t="s">
        <v>35</v>
      </c>
      <c r="H56" s="1" t="str">
        <f aca="false">E56&amp;"_"&amp;D56</f>
        <v>Retina_wt</v>
      </c>
      <c r="I56" s="1" t="str">
        <f aca="false">E56&amp;"_"&amp;D56</f>
        <v>Retina_wt</v>
      </c>
      <c r="J56" s="1" t="str">
        <f aca="false">A56&amp;"_R1_001.fastq.gz"</f>
        <v>S3_Ret_WT_S3_R1_001.fastq.gz</v>
      </c>
      <c r="K56" s="1" t="str">
        <f aca="false">A56&amp;"_R2_001.fastq.gz"</f>
        <v>S3_Ret_WT_S3_R2_001.fastq.gz</v>
      </c>
      <c r="L56" s="7" t="n">
        <v>3</v>
      </c>
      <c r="M56" s="5" t="s">
        <v>201</v>
      </c>
      <c r="P56" s="14" t="str">
        <f aca="false">"preprocessing_230707/"&amp;A56&amp;"/outputs/40hisat2_mm38_100/mm38_100_genome-paired_sreverse_gene_ID.count.xz"</f>
        <v>preprocessing_230707/S3_Ret_WT_S3/outputs/40hisat2_mm38_100/mm38_100_genome-paired_sreverse_gene_ID.count.xz</v>
      </c>
      <c r="Q56" s="14" t="s">
        <v>250</v>
      </c>
      <c r="R56" s="15"/>
      <c r="S56" s="3" t="str">
        <f aca="false">_xlfn.CONCAT("preprocessing/", A56, "/outputs/45salmon_mm39_116_CDS/quant.sf")</f>
        <v>preprocessing/S3_Ret_WT_S3/outputs/45salmon_mm39_116_CDS/quant.sf</v>
      </c>
      <c r="T56" s="6" t="n">
        <v>25258184</v>
      </c>
      <c r="U56" s="6" t="n">
        <v>23812942</v>
      </c>
      <c r="V56" s="1" t="n">
        <f aca="false">ROUND(U56/T56*100, 2)</f>
        <v>94.28</v>
      </c>
      <c r="Y56" s="6"/>
    </row>
    <row r="57" customFormat="false" ht="15.85" hidden="false" customHeight="false" outlineLevel="0" collapsed="false">
      <c r="A57" s="15" t="s">
        <v>251</v>
      </c>
      <c r="B57" s="7" t="s">
        <v>252</v>
      </c>
      <c r="C57" s="3" t="s">
        <v>32</v>
      </c>
      <c r="D57" s="7" t="s">
        <v>71</v>
      </c>
      <c r="E57" s="7" t="s">
        <v>49</v>
      </c>
      <c r="F57" s="8" t="n">
        <v>11</v>
      </c>
      <c r="G57" s="7" t="s">
        <v>35</v>
      </c>
      <c r="H57" s="1" t="str">
        <f aca="false">E57&amp;"_"&amp;D57</f>
        <v>SCN_het</v>
      </c>
      <c r="I57" s="1" t="str">
        <f aca="false">E57&amp;"_"&amp;D57</f>
        <v>SCN_het</v>
      </c>
      <c r="J57" s="1" t="str">
        <f aca="false">A57&amp;"_R1_001.fastq.gz"</f>
        <v>S3_SCN_Het_S21_R1_001.fastq.gz</v>
      </c>
      <c r="K57" s="1" t="str">
        <f aca="false">A57&amp;"_R2_001.fastq.gz"</f>
        <v>S3_SCN_Het_S21_R2_001.fastq.gz</v>
      </c>
      <c r="L57" s="7" t="n">
        <v>3</v>
      </c>
      <c r="M57" s="5" t="s">
        <v>201</v>
      </c>
      <c r="P57" s="14" t="str">
        <f aca="false">"preprocessing_230707/"&amp;A57&amp;"/outputs/40hisat2_mm38_100/mm38_100_genome-paired_sreverse_gene_ID.count.xz"</f>
        <v>preprocessing_230707/S3_SCN_Het_S21/outputs/40hisat2_mm38_100/mm38_100_genome-paired_sreverse_gene_ID.count.xz</v>
      </c>
      <c r="Q57" s="14" t="s">
        <v>253</v>
      </c>
      <c r="R57" s="15"/>
      <c r="S57" s="3" t="str">
        <f aca="false">_xlfn.CONCAT("preprocessing/", A57, "/outputs/45salmon_mm39_116_CDS/quant.sf")</f>
        <v>preprocessing/S3_SCN_Het_S21/outputs/45salmon_mm39_116_CDS/quant.sf</v>
      </c>
      <c r="T57" s="6" t="n">
        <v>21166337</v>
      </c>
      <c r="U57" s="6" t="n">
        <v>20007960</v>
      </c>
      <c r="V57" s="1" t="n">
        <f aca="false">ROUND(U57/T57*100, 2)</f>
        <v>94.53</v>
      </c>
      <c r="Y57" s="6"/>
    </row>
    <row r="58" customFormat="false" ht="15.85" hidden="false" customHeight="false" outlineLevel="0" collapsed="false">
      <c r="A58" s="15" t="s">
        <v>254</v>
      </c>
      <c r="B58" s="7" t="s">
        <v>116</v>
      </c>
      <c r="C58" s="3" t="s">
        <v>32</v>
      </c>
      <c r="D58" s="7" t="s">
        <v>197</v>
      </c>
      <c r="E58" s="7" t="s">
        <v>49</v>
      </c>
      <c r="F58" s="8" t="n">
        <v>4</v>
      </c>
      <c r="G58" s="7" t="s">
        <v>35</v>
      </c>
      <c r="H58" s="1" t="str">
        <f aca="false">E58&amp;"_"&amp;D58</f>
        <v>SCN_wt</v>
      </c>
      <c r="I58" s="1" t="str">
        <f aca="false">E58&amp;"_"&amp;D58</f>
        <v>SCN_wt</v>
      </c>
      <c r="J58" s="1" t="str">
        <f aca="false">A58&amp;"_R1_001.fastq.gz"</f>
        <v>S3_SCN_WT_S17_R1_001.fastq.gz</v>
      </c>
      <c r="K58" s="1" t="str">
        <f aca="false">A58&amp;"_R2_001.fastq.gz"</f>
        <v>S3_SCN_WT_S17_R2_001.fastq.gz</v>
      </c>
      <c r="L58" s="7" t="n">
        <v>3</v>
      </c>
      <c r="M58" s="5" t="s">
        <v>201</v>
      </c>
      <c r="P58" s="14" t="str">
        <f aca="false">"preprocessing_230707/"&amp;A58&amp;"/outputs/40hisat2_mm38_100/mm38_100_genome-paired_sreverse_gene_ID.count.xz"</f>
        <v>preprocessing_230707/S3_SCN_WT_S17/outputs/40hisat2_mm38_100/mm38_100_genome-paired_sreverse_gene_ID.count.xz</v>
      </c>
      <c r="Q58" s="14" t="s">
        <v>255</v>
      </c>
      <c r="R58" s="15"/>
      <c r="S58" s="3" t="str">
        <f aca="false">_xlfn.CONCAT("preprocessing/", A58, "/outputs/45salmon_mm39_116_CDS/quant.sf")</f>
        <v>preprocessing/S3_SCN_WT_S17/outputs/45salmon_mm39_116_CDS/quant.sf</v>
      </c>
      <c r="T58" s="6" t="n">
        <v>22083954</v>
      </c>
      <c r="U58" s="6" t="n">
        <v>20819460</v>
      </c>
      <c r="V58" s="1" t="n">
        <f aca="false">ROUND(U58/T58*100, 2)</f>
        <v>94.27</v>
      </c>
      <c r="Y58" s="6"/>
    </row>
  </sheetData>
  <conditionalFormatting sqref="A2:A1048576">
    <cfRule type="duplicateValues" priority="2" aboveAverage="0" equalAverage="0" bottom="0" percent="0" rank="0" text="" dxfId="0"/>
  </conditionalFormatting>
  <conditionalFormatting sqref="A59:A1048576">
    <cfRule type="duplicateValues" priority="3" aboveAverage="0" equalAverage="0" bottom="0" percent="0" rank="0" text="" dxfId="1"/>
  </conditionalFormatting>
  <conditionalFormatting sqref="A2:A58">
    <cfRule type="duplicateValues" priority="4" aboveAverage="0" equalAverage="0" bottom="0" percent="0" rank="0" text="" dxfId="0"/>
  </conditionalFormatting>
  <conditionalFormatting sqref="R38:R42">
    <cfRule type="duplicateValues" priority="5" aboveAverage="0" equalAverage="0" bottom="0" percent="0" rank="0" text="" dxfId="2"/>
  </conditionalFormatting>
  <conditionalFormatting sqref="R43:R58">
    <cfRule type="duplicateValues" priority="6" aboveAverage="0" equalAverage="0" bottom="0" percent="0" rank="0" text="" dxfId="3"/>
  </conditionalFormatting>
  <conditionalFormatting sqref="A1:A58">
    <cfRule type="duplicateValues" priority="7" aboveAverage="0" equalAverage="0" bottom="0" percent="0" rank="0" text="" dxfId="0"/>
  </conditionalFormatting>
  <conditionalFormatting sqref="A1:A37">
    <cfRule type="duplicateValues" priority="8" aboveAverage="0" equalAverage="0" bottom="0" percent="0" rank="0" text="" dxfId="1"/>
  </conditionalFormatting>
  <conditionalFormatting sqref="A20:B30 B31:B37 B39:B58">
    <cfRule type="duplicateValues" priority="9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2022-09-08T16:03:24Z</dcterms:created>
  <dc:creator>Microsoft Office User</dc:creator>
  <dc:description/>
  <dc:language>en-US</dc:language>
  <cp:lastModifiedBy>Ashton Belew</cp:lastModifiedBy>
  <dcterms:modified xsi:type="dcterms:W3CDTF">2026-08-25T13:10:30Z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