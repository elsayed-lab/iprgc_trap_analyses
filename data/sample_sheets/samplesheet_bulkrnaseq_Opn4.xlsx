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a/Downloads/"/>
    </mc:Choice>
  </mc:AlternateContent>
  <xr:revisionPtr revIDLastSave="0" documentId="8_{96A59824-7623-9F40-A347-6B59E178E357}" xr6:coauthVersionLast="47" xr6:coauthVersionMax="47" xr10:uidLastSave="{00000000-0000-0000-0000-000000000000}"/>
  <bookViews>
    <workbookView xWindow="0" yWindow="500" windowWidth="28420" windowHeight="16320" xr2:uid="{FC0438ED-3F21-9C46-B2D2-72BDC182CE1A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0" i="1" l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39" i="1"/>
  <c r="S38" i="1"/>
  <c r="S39" i="1"/>
  <c r="S40" i="1"/>
  <c r="S41" i="1"/>
  <c r="S42" i="1"/>
  <c r="S43" i="1"/>
  <c r="S44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45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44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I43" i="1"/>
  <c r="J4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P31" i="1"/>
  <c r="P32" i="1"/>
  <c r="P33" i="1"/>
  <c r="P34" i="1"/>
  <c r="P35" i="1"/>
  <c r="P36" i="1"/>
  <c r="P37" i="1"/>
  <c r="P21" i="1"/>
  <c r="P22" i="1"/>
  <c r="P23" i="1"/>
  <c r="P24" i="1"/>
  <c r="P25" i="1"/>
  <c r="P26" i="1"/>
  <c r="P27" i="1"/>
  <c r="P28" i="1"/>
  <c r="P29" i="1"/>
  <c r="P30" i="1"/>
  <c r="P20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J32" i="1"/>
  <c r="J33" i="1"/>
  <c r="J34" i="1"/>
  <c r="J35" i="1"/>
  <c r="J36" i="1"/>
  <c r="J37" i="1"/>
  <c r="J31" i="1"/>
  <c r="I34" i="1"/>
  <c r="I35" i="1"/>
  <c r="I36" i="1"/>
  <c r="I37" i="1"/>
  <c r="I33" i="1"/>
  <c r="Y30" i="1"/>
  <c r="S30" i="1"/>
  <c r="Y29" i="1"/>
  <c r="S29" i="1"/>
  <c r="Y28" i="1"/>
  <c r="S28" i="1"/>
  <c r="Y27" i="1"/>
  <c r="S27" i="1"/>
  <c r="Y26" i="1"/>
  <c r="S26" i="1"/>
  <c r="Y25" i="1"/>
  <c r="S25" i="1"/>
  <c r="Y24" i="1"/>
  <c r="S24" i="1"/>
  <c r="Y23" i="1"/>
  <c r="S23" i="1"/>
  <c r="Y22" i="1"/>
  <c r="S22" i="1"/>
  <c r="Y21" i="1"/>
  <c r="S21" i="1"/>
  <c r="Y20" i="1"/>
  <c r="S20" i="1"/>
  <c r="G17" i="1"/>
  <c r="S17" i="1"/>
  <c r="Y17" i="1"/>
  <c r="Z17" i="1"/>
  <c r="G18" i="1"/>
  <c r="S18" i="1"/>
  <c r="Y18" i="1"/>
  <c r="Z18" i="1"/>
  <c r="G19" i="1"/>
  <c r="S19" i="1"/>
  <c r="Y19" i="1"/>
  <c r="Z19" i="1"/>
  <c r="Z2" i="1"/>
  <c r="Y2" i="1"/>
  <c r="S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3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</calcChain>
</file>

<file path=xl/sharedStrings.xml><?xml version="1.0" encoding="utf-8"?>
<sst xmlns="http://schemas.openxmlformats.org/spreadsheetml/2006/main" count="490" uniqueCount="195">
  <si>
    <t>sampleid</t>
  </si>
  <si>
    <t>genotype</t>
  </si>
  <si>
    <t>location</t>
  </si>
  <si>
    <t>time</t>
  </si>
  <si>
    <t>condition</t>
  </si>
  <si>
    <t>raw_r1</t>
  </si>
  <si>
    <t>raw_r2</t>
  </si>
  <si>
    <t>batch</t>
  </si>
  <si>
    <t>date_received</t>
  </si>
  <si>
    <t>het_number</t>
  </si>
  <si>
    <t>bio_replicate</t>
  </si>
  <si>
    <t>tech_replicate</t>
  </si>
  <si>
    <t>file</t>
  </si>
  <si>
    <t>salmonfile</t>
  </si>
  <si>
    <t>total reads</t>
  </si>
  <si>
    <t>trim1_both_surviving</t>
  </si>
  <si>
    <t>trim1_suriving_pct</t>
  </si>
  <si>
    <t>trim1_forward</t>
  </si>
  <si>
    <t>trim1_reverse</t>
  </si>
  <si>
    <t>trim1_dropped</t>
  </si>
  <si>
    <t>hisat_single</t>
  </si>
  <si>
    <t>hisat_multi</t>
  </si>
  <si>
    <t>hisat_map_pct</t>
  </si>
  <si>
    <t>hisat_mapped_total_reads</t>
  </si>
  <si>
    <t>genes observed</t>
  </si>
  <si>
    <t>het</t>
  </si>
  <si>
    <t>ko</t>
  </si>
  <si>
    <t>dLGN</t>
  </si>
  <si>
    <t>SCN</t>
  </si>
  <si>
    <t>Retina</t>
  </si>
  <si>
    <t>p08</t>
  </si>
  <si>
    <t>S1_KO_Ret_S7_R1_001.fastq.gz </t>
  </si>
  <si>
    <t>S1_KO_Ret_S7_R2_001.fastq.gz </t>
  </si>
  <si>
    <t>S1_KO_SCN_S9_R1_001.fastq.gz</t>
  </si>
  <si>
    <t>S1_KO_SCN_S9_R2_001.fastq.gz</t>
  </si>
  <si>
    <t>S2_KO_dLGN_S11_R1_001.fastq.gz</t>
  </si>
  <si>
    <t>S2_KO_dLGN_S11_R2_001.fastq.gz</t>
  </si>
  <si>
    <t>S2_KO_Ret_S10_R1_001.fastq.gz</t>
  </si>
  <si>
    <t>S2_KO_Ret_S10_R2_001.fastq.gz</t>
  </si>
  <si>
    <t>S2_KO_SCN_S12_R1_001.fastq.gz</t>
  </si>
  <si>
    <t>S2_KO_SCN_S12_R2_001.fastq.gz</t>
  </si>
  <si>
    <t>S3_Het_dLGN_S2_R1_001.fastq.gz</t>
  </si>
  <si>
    <t>S3_Het_dLGN_S2_R2_001.fastq.gz</t>
  </si>
  <si>
    <t>S3_Het_Ret_S1_R1_001.fastq.gz</t>
  </si>
  <si>
    <t>S3_Het_Ret_S1_R2_001.fastq.gz</t>
  </si>
  <si>
    <t>S3_Het_SCN_S3_R1_001.fastq.gz</t>
  </si>
  <si>
    <t>S3_Het_SCN_S3_R2_001.fastq.gz</t>
  </si>
  <si>
    <t>S3_KO_dLGN_S14_R1_001.fastq.gz</t>
  </si>
  <si>
    <t>S3_KO_dLGN_S14_R2_001.fastq.gz</t>
  </si>
  <si>
    <t>S3_KO_Ret_S13_R1_001.fastq.gz</t>
  </si>
  <si>
    <t>S3_KO_Ret_S13_R2_001.fastq.gz</t>
  </si>
  <si>
    <t>S3_KO_SCN_S15_R1_001.fastq.gz</t>
  </si>
  <si>
    <t>S3_KO_SCN_S15_R2_001.fastq.gz</t>
  </si>
  <si>
    <t>S4_Het_dLGN_S5_R1_001.fastq.gz</t>
  </si>
  <si>
    <t>S4_Het_dLGN_S5_R2_001.fastq.gz</t>
  </si>
  <si>
    <t>S4_Het_Ret_S4_R1_001.fastq.gz</t>
  </si>
  <si>
    <t>S4_Het_Ret_S4_R2_001.fastq.gz</t>
  </si>
  <si>
    <t>S4_Het_SCN_S6_R1_001.fastq.gz</t>
  </si>
  <si>
    <t>S4_Het_SCN_S6_R2_001.fastq.gz</t>
  </si>
  <si>
    <t>S5_Het_dLGN_S17_R1_001.fastq.gz</t>
  </si>
  <si>
    <t>S5_Het_dLGN_S17_R2_001.fastq.gz</t>
  </si>
  <si>
    <t>S5_Het_Ret_S16_R1_001.fastq.gz</t>
  </si>
  <si>
    <t>S5_Het_Ret_S16_R2_001.fastq.gz</t>
  </si>
  <si>
    <t>S5_Het_SCN_S18_R1_001.fastq.gz</t>
  </si>
  <si>
    <t>S5_Het_SCN_S18_R2_001.fastq.gz</t>
  </si>
  <si>
    <t>b202209</t>
  </si>
  <si>
    <t>samplenumb</t>
  </si>
  <si>
    <t>S8</t>
  </si>
  <si>
    <t>S7</t>
  </si>
  <si>
    <t>S9</t>
  </si>
  <si>
    <t>S11</t>
  </si>
  <si>
    <t>S10</t>
  </si>
  <si>
    <t>S12</t>
  </si>
  <si>
    <t>S2</t>
  </si>
  <si>
    <t>S1</t>
  </si>
  <si>
    <t>S3</t>
  </si>
  <si>
    <t>S14</t>
  </si>
  <si>
    <t>S13</t>
  </si>
  <si>
    <t>S15</t>
  </si>
  <si>
    <t>S5</t>
  </si>
  <si>
    <t>S4</t>
  </si>
  <si>
    <t>S6</t>
  </si>
  <si>
    <t>S17</t>
  </si>
  <si>
    <t>S16</t>
  </si>
  <si>
    <t>S18</t>
  </si>
  <si>
    <t>dLGN_ko</t>
  </si>
  <si>
    <t>S1_KO_dLGN_S8_R1_001.fastq.gz </t>
  </si>
  <si>
    <t>S1_KO_dLGN_S8_R2_001.fastq.gz </t>
  </si>
  <si>
    <t>S1_Het_Ret_S1</t>
  </si>
  <si>
    <t>S1_Het_Ret_S1_R1_001.fastq.gz</t>
  </si>
  <si>
    <t>S1_Het_Ret_S1_R2_001.fastq.gz</t>
  </si>
  <si>
    <t>b202303</t>
  </si>
  <si>
    <t>Retina_het</t>
  </si>
  <si>
    <t>S1_Het_dLGN_S2</t>
  </si>
  <si>
    <t>S1_Het_dLGN_S2_R1_001.fastq.gz</t>
  </si>
  <si>
    <t>S1_Het_dLGN_S2_R2_001.fastq.gz</t>
  </si>
  <si>
    <t>dLGN_het</t>
  </si>
  <si>
    <t>S1_Het_SCN_S3</t>
  </si>
  <si>
    <t>S1_Het_SCN_S3_R1_001.fastq.gz</t>
  </si>
  <si>
    <t>S1_Het_SCN_S3_R2_001.fastq.gz</t>
  </si>
  <si>
    <t>SCN_het</t>
  </si>
  <si>
    <t>S2_Het_Ret_S4</t>
  </si>
  <si>
    <t>S2_Het_Ret_S4_R1_001.fastq.gz</t>
  </si>
  <si>
    <t>S2_Het_Ret_S4_R2_001.fastq.gz</t>
  </si>
  <si>
    <t>S2_Het_dLGN_S5</t>
  </si>
  <si>
    <t>S2_Het_dLGN_S5_R1_001.fastq.gz</t>
  </si>
  <si>
    <t>S2_Het_dLGN_S5_R2_001.fastq.gz</t>
  </si>
  <si>
    <t>S2_Het_SCN_S6</t>
  </si>
  <si>
    <t>S2_Het_SCN_S6_R1_001.fastq.gz</t>
  </si>
  <si>
    <t>S2_Het_SCN_S6_R2_001.fastq.gz</t>
  </si>
  <si>
    <t>S3_Het_Ret_S7</t>
  </si>
  <si>
    <t>S3_Het_Ret_S7_R1_001.fastq.gz</t>
  </si>
  <si>
    <t>S3_Het_Ret_S7_R2_001.fastq.gz</t>
  </si>
  <si>
    <t>S3_Het_dLGN_S8</t>
  </si>
  <si>
    <t>S3_Het_dLGN_S8_R1_001.fastq.gz</t>
  </si>
  <si>
    <t>S3_Het_dLGN_S8_R2_001.fastq.gz</t>
  </si>
  <si>
    <t>S3_Het_SCN_S9</t>
  </si>
  <si>
    <t>S3_Het_SCN_S9_R1_001.fastq.gz</t>
  </si>
  <si>
    <t>S3_Het_SCN_S9_R2_001.fastq.gz</t>
  </si>
  <si>
    <t>S4_Het_Ret_S10</t>
  </si>
  <si>
    <t>S4_Het_Ret_S10_R1_001.fastq.gz</t>
  </si>
  <si>
    <t>S4_Het_Ret_S10_R2_001.fastq.gz</t>
  </si>
  <si>
    <t>S4_Het_dLGN_S11</t>
  </si>
  <si>
    <t>S4_Het_dLGN_S11_R1_001.fastq.gz</t>
  </si>
  <si>
    <t>S4_Het_dLGN_S11_R2_001.fastq.gz</t>
  </si>
  <si>
    <t>S5_Het_dLGN_S14</t>
  </si>
  <si>
    <t>S5_Het_Ret_S13</t>
  </si>
  <si>
    <t>S4_KO_dLGN_S17</t>
  </si>
  <si>
    <t>S4_Het_SCN_S12</t>
  </si>
  <si>
    <t>S4_KO_SCN_S18</t>
  </si>
  <si>
    <t>S4_KO_Ret_S16</t>
  </si>
  <si>
    <t>S5_Het_SCN_S15</t>
  </si>
  <si>
    <t>S4_Het_SCN_S12_R1_001.fastq.gz</t>
  </si>
  <si>
    <t>S5_Het_Ret_S13_R1_001.fastq.gz</t>
  </si>
  <si>
    <t>SCN_ko</t>
  </si>
  <si>
    <t>Retina_ko</t>
  </si>
  <si>
    <t>location_time</t>
  </si>
  <si>
    <t>S1_KO_dLGN_S8</t>
  </si>
  <si>
    <t>S1_KO_Ret_S7</t>
  </si>
  <si>
    <t>S1_KO_SCN_S9</t>
  </si>
  <si>
    <t>S2_KO_dLGN_S11</t>
  </si>
  <si>
    <t>S2_KO_Ret_S10</t>
  </si>
  <si>
    <t>S2_KO_SCN_S12</t>
  </si>
  <si>
    <t>S3_Het_dLGN_S2</t>
  </si>
  <si>
    <t>S3_Het_Ret_S1</t>
  </si>
  <si>
    <t>S3_Het_SCN_S3</t>
  </si>
  <si>
    <t>S3_KO_dLGN_S14</t>
  </si>
  <si>
    <t>S3_KO_Ret_S13</t>
  </si>
  <si>
    <t>S3_KO_SCN_S15</t>
  </si>
  <si>
    <t>S4_Het_dLGN_S5</t>
  </si>
  <si>
    <t>S4_Het_Ret_S4</t>
  </si>
  <si>
    <t>S4_Het_SCN_S6</t>
  </si>
  <si>
    <t>S5_Het_dLGN_S17</t>
  </si>
  <si>
    <t>S5_Het_Ret_S16</t>
  </si>
  <si>
    <t>S5_Het_SCN_S18</t>
  </si>
  <si>
    <t>S4_dLGN_WT_S11_R1_001.fastq.gz</t>
  </si>
  <si>
    <t>S4_dLGN_WT_S11</t>
  </si>
  <si>
    <t>S4_dLGN_WT_S11_R2_001.fastq.gz</t>
  </si>
  <si>
    <t>wt</t>
  </si>
  <si>
    <t>dLGN_wt</t>
  </si>
  <si>
    <t>S4_SCN_WT_S18_R1_001.fastq.gz</t>
  </si>
  <si>
    <t>S4_SCN_WT_S18_R2_001.fastq.gz</t>
  </si>
  <si>
    <t>S4_SCN_WT_S18</t>
  </si>
  <si>
    <t>SCN_wt</t>
  </si>
  <si>
    <t>S4_Ret_WT_S4_R1_001.fastq.gz</t>
  </si>
  <si>
    <t>S4_Ret_WT_S4_R2_001.fastq.gz</t>
  </si>
  <si>
    <t>Retina_wt</t>
  </si>
  <si>
    <t>S4_Ret_WT_S4</t>
  </si>
  <si>
    <t>S3_dLGN_WT_S10_R1_001.fastq.gz</t>
  </si>
  <si>
    <t>S3_dLGN_WT_S10_R2_001.fastq.gz</t>
  </si>
  <si>
    <t>S3_dLGN_WT_S10</t>
  </si>
  <si>
    <t>S3_dLGN_Het_S14_R1_001.fastq.gz</t>
  </si>
  <si>
    <t>S3_dLGN_Het_S14_R2_001.fastq.gz</t>
  </si>
  <si>
    <t>S3_dLGN_Het_S14</t>
  </si>
  <si>
    <t>S1_dLGN_Het_S12</t>
  </si>
  <si>
    <t>S1_dLGN_WT_S8</t>
  </si>
  <si>
    <t>S1_Ret_Het_S5</t>
  </si>
  <si>
    <t>S1_Ret_WT_S1</t>
  </si>
  <si>
    <t>S1_SCN_Het_S19</t>
  </si>
  <si>
    <t>S1_SCN_WT_S15</t>
  </si>
  <si>
    <t>S2_dLGN_Het_S13</t>
  </si>
  <si>
    <t>S2_dLGN_WT_S9</t>
  </si>
  <si>
    <t>S2_Ret_Het_S6</t>
  </si>
  <si>
    <t>S2_Ret_WT_S2</t>
  </si>
  <si>
    <t>S2_SCN_Het_S20</t>
  </si>
  <si>
    <t>S2_SCN_WT_S16</t>
  </si>
  <si>
    <t>S3_Ret_Het_S7</t>
  </si>
  <si>
    <t>S3_Ret_WT_S3</t>
  </si>
  <si>
    <t>S3_SCN_Het_S21</t>
  </si>
  <si>
    <t>S3_SCN_WT_S17</t>
  </si>
  <si>
    <t>b202307</t>
  </si>
  <si>
    <t>preprocessing_230707/S1_dLGN_Het_S12/outputs/40hisat2_mm38_100/mm38_100_genome-paired_sreverse_gene_ID.count.xz</t>
  </si>
  <si>
    <t>S19</t>
  </si>
  <si>
    <t>S20</t>
  </si>
  <si>
    <t>S21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</si>
</sst>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1"/>
      <color rgb="FF000000"/>
      <name val="Menlo"/>
      <family val="2"/>
    </font>
    <font>
      <sz val="12"/>
      <name val="Arial"/>
      <family val="2"/>
      <charset val="1"/>
    </font>
    <font>
      <sz val="12"/>
      <color rgb="FF000000"/>
      <name val="Menlo"/>
      <family val="2"/>
    </font>
    <font>
      <sz val="11"/>
      <color rgb="FF3589FF"/>
      <name val="Menlo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0" fontId="0" fillId="0" borderId="0" xfId="0" applyNumberFormat="1"/>
    <xf numFmtId="10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0" fontId="2" fillId="0" borderId="0" xfId="0" applyNumberFormat="1" applyFont="1" applyAlignment="1">
      <alignment horizontal="center"/>
    </xf>
    <xf numFmtId="10" fontId="2" fillId="0" borderId="0" xfId="0" applyNumberFormat="1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1020-BF53-3346-B4E8-4F098118D311}">
  <dimension ref="A1:AMH58"/>
  <sheetViews>
    <sheetView tabSelected="1" topLeftCell="A23" zoomScale="85" workbookViewId="0">
      <selection activeCell="E61" sqref="E61"/>
    </sheetView>
  </sheetViews>
  <sheetFormatPr baseColWidth="10" defaultRowHeight="16" x14ac:dyDescent="0.2"/>
  <cols>
    <col min="1" max="1" width="41" customWidth="1"/>
    <col min="2" max="2" width="34.83203125" bestFit="1" customWidth="1"/>
    <col min="3" max="3" width="11.83203125" bestFit="1" customWidth="1"/>
    <col min="4" max="4" width="38.6640625" bestFit="1" customWidth="1"/>
    <col min="5" max="5" width="15.1640625" customWidth="1"/>
    <col min="6" max="6" width="18.33203125" bestFit="1" customWidth="1"/>
    <col min="7" max="8" width="26.1640625" bestFit="1" customWidth="1"/>
    <col min="9" max="9" width="36" customWidth="1"/>
    <col min="10" max="10" width="38.6640625" customWidth="1"/>
    <col min="11" max="11" width="11.33203125" customWidth="1"/>
    <col min="12" max="12" width="16" customWidth="1"/>
    <col min="13" max="13" width="13.6640625" customWidth="1"/>
    <col min="14" max="14" width="5" customWidth="1"/>
    <col min="15" max="15" width="129.6640625" customWidth="1"/>
    <col min="16" max="16" width="67.6640625" customWidth="1"/>
    <col min="18" max="18" width="18.6640625" bestFit="1" customWidth="1"/>
    <col min="19" max="19" width="21.1640625" customWidth="1"/>
    <col min="20" max="20" width="15" customWidth="1"/>
    <col min="21" max="21" width="15.83203125" customWidth="1"/>
    <col min="22" max="22" width="13.33203125" bestFit="1" customWidth="1"/>
    <col min="25" max="25" width="13.33203125" bestFit="1" customWidth="1"/>
    <col min="26" max="26" width="23.5" style="3" bestFit="1" customWidth="1"/>
    <col min="27" max="27" width="13.83203125" bestFit="1" customWidth="1"/>
  </cols>
  <sheetData>
    <row r="1" spans="1:1022" x14ac:dyDescent="0.2">
      <c r="A1" s="1" t="s">
        <v>0</v>
      </c>
      <c r="B1" s="1" t="s">
        <v>66</v>
      </c>
      <c r="C1" s="1" t="s">
        <v>1</v>
      </c>
      <c r="D1" s="1" t="s">
        <v>2</v>
      </c>
      <c r="E1" s="1" t="s">
        <v>10</v>
      </c>
      <c r="F1" s="1" t="s">
        <v>3</v>
      </c>
      <c r="G1" s="1" t="s">
        <v>136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4" t="s">
        <v>23</v>
      </c>
      <c r="AA1" s="1" t="s">
        <v>24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</row>
    <row r="2" spans="1:1022" x14ac:dyDescent="0.2">
      <c r="A2" s="10" t="s">
        <v>137</v>
      </c>
      <c r="B2" s="10" t="s">
        <v>67</v>
      </c>
      <c r="C2" s="10" t="s">
        <v>26</v>
      </c>
      <c r="D2" s="10" t="s">
        <v>27</v>
      </c>
      <c r="E2" s="1">
        <v>1</v>
      </c>
      <c r="F2" s="10" t="s">
        <v>30</v>
      </c>
      <c r="G2" s="10" t="s">
        <v>85</v>
      </c>
      <c r="H2" s="10" t="s">
        <v>85</v>
      </c>
      <c r="I2" s="2" t="s">
        <v>86</v>
      </c>
      <c r="J2" s="2" t="s">
        <v>87</v>
      </c>
      <c r="K2" s="10">
        <v>1</v>
      </c>
      <c r="L2" s="10" t="s">
        <v>65</v>
      </c>
      <c r="M2" s="1"/>
      <c r="N2" s="1"/>
      <c r="O2" t="str">
        <f>"Opn4_bulkRNAseq/"&amp;A2&amp;"/outputs/40hisat2_mm38_100/mm38_100_genome-paired_gene_sreverse_gene_ID.count.xz"</f>
        <v>Opn4_bulkRNAseq/S1_KO_dLGN_S8/outputs/40hisat2_mm38_100/mm38_100_genome-paired_gene_sreverse_gene_ID.count.xz</v>
      </c>
      <c r="P2" s="1" t="str">
        <f>"Opn4_bulkRNAseq/"&amp;A2&amp;"_"&amp;B2&amp;"/outputs/45salmon_mm38_100/quant.sf"</f>
        <v>Opn4_bulkRNAseq/S1_KO_dLGN_S8_S8/outputs/45salmon_mm38_100/quant.sf</v>
      </c>
      <c r="Q2" s="2">
        <v>31197816</v>
      </c>
      <c r="R2" s="2">
        <v>29707899</v>
      </c>
      <c r="S2" s="3">
        <f>R2/Q2</f>
        <v>0.95224290700349024</v>
      </c>
      <c r="T2" s="2">
        <v>574439</v>
      </c>
      <c r="U2" s="2">
        <v>461145</v>
      </c>
      <c r="V2" s="2">
        <v>454333</v>
      </c>
      <c r="W2" s="2">
        <v>25950565</v>
      </c>
      <c r="X2" s="2">
        <v>2793453</v>
      </c>
      <c r="Y2" s="3">
        <f t="shared" ref="Y2:Y19" si="0">(W2+X2)/R2</f>
        <v>0.96755472340874726</v>
      </c>
      <c r="Z2" s="3">
        <f>(W2+X2)/Q2</f>
        <v>0.92134712250370343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</row>
    <row r="3" spans="1:1022" x14ac:dyDescent="0.2">
      <c r="A3" s="10" t="s">
        <v>138</v>
      </c>
      <c r="B3" s="10" t="s">
        <v>68</v>
      </c>
      <c r="C3" s="10" t="s">
        <v>26</v>
      </c>
      <c r="D3" s="10" t="s">
        <v>29</v>
      </c>
      <c r="E3">
        <v>1</v>
      </c>
      <c r="F3" s="10" t="s">
        <v>30</v>
      </c>
      <c r="G3" s="10" t="str">
        <f>D3&amp;"_"&amp;C3</f>
        <v>Retina_ko</v>
      </c>
      <c r="H3" s="10" t="str">
        <f>F3&amp;"_"&amp;D3</f>
        <v>p08_Retina</v>
      </c>
      <c r="I3" s="2" t="s">
        <v>31</v>
      </c>
      <c r="J3" s="2" t="s">
        <v>32</v>
      </c>
      <c r="K3" s="10">
        <v>1</v>
      </c>
      <c r="L3" s="10" t="s">
        <v>65</v>
      </c>
      <c r="O3" t="str">
        <f>"Opn4_bulkRNAseq/"&amp;A3&amp;"/outputs/40hisat2_mm38_100/mm38_100_genome-paired_gene_sreverse_gene_ID.count.xz"</f>
        <v>Opn4_bulkRNAseq/S1_KO_Ret_S7/outputs/40hisat2_mm38_100/mm38_100_genome-paired_gene_sreverse_gene_ID.count.xz</v>
      </c>
      <c r="P3" s="1" t="str">
        <f>"Opn4_bulkRNAseq/"&amp;A3&amp;"_"&amp;B3&amp;"/outputs/45salmon_mm38_100/quant.sf"</f>
        <v>Opn4_bulkRNAseq/S1_KO_Ret_S7_S7/outputs/45salmon_mm38_100/quant.sf</v>
      </c>
      <c r="Q3" s="2">
        <v>37553854</v>
      </c>
      <c r="R3" s="2">
        <v>35815887</v>
      </c>
      <c r="S3" s="3">
        <f>R3/Q3</f>
        <v>0.95372067537994898</v>
      </c>
      <c r="T3" s="2">
        <v>695446</v>
      </c>
      <c r="U3" s="2">
        <v>532884</v>
      </c>
      <c r="V3" s="2">
        <v>509637</v>
      </c>
      <c r="W3" s="2">
        <v>32700685</v>
      </c>
      <c r="X3" s="2">
        <v>2436162</v>
      </c>
      <c r="Y3" s="3">
        <f t="shared" si="0"/>
        <v>0.9810408157698286</v>
      </c>
      <c r="Z3" s="3">
        <f>(W3+X3)/Q3</f>
        <v>0.93563890939129712</v>
      </c>
    </row>
    <row r="4" spans="1:1022" x14ac:dyDescent="0.2">
      <c r="A4" s="10" t="s">
        <v>139</v>
      </c>
      <c r="B4" s="10" t="s">
        <v>69</v>
      </c>
      <c r="C4" s="10" t="s">
        <v>26</v>
      </c>
      <c r="D4" s="10" t="s">
        <v>28</v>
      </c>
      <c r="E4">
        <v>1</v>
      </c>
      <c r="F4" s="10" t="s">
        <v>30</v>
      </c>
      <c r="G4" s="10" t="str">
        <f>D4&amp;"_"&amp;C4</f>
        <v>SCN_ko</v>
      </c>
      <c r="H4" s="10" t="str">
        <f>F4&amp;"_"&amp;D4</f>
        <v>p08_SCN</v>
      </c>
      <c r="I4" s="2" t="s">
        <v>33</v>
      </c>
      <c r="J4" s="2" t="s">
        <v>34</v>
      </c>
      <c r="K4" s="10">
        <v>1</v>
      </c>
      <c r="L4" s="10" t="s">
        <v>65</v>
      </c>
      <c r="O4" t="str">
        <f>"Opn4_bulkRNAseq/"&amp;A4&amp;"/outputs/40hisat2_mm38_100/mm38_100_genome-paired_gene_sreverse_gene_ID.count.xz"</f>
        <v>Opn4_bulkRNAseq/S1_KO_SCN_S9/outputs/40hisat2_mm38_100/mm38_100_genome-paired_gene_sreverse_gene_ID.count.xz</v>
      </c>
      <c r="P4" s="1" t="str">
        <f>"Opn4_bulkRNAseq/"&amp;A4&amp;"_"&amp;B4&amp;"/outputs/45salmon_mm38_100/quant.sf"</f>
        <v>Opn4_bulkRNAseq/S1_KO_SCN_S9_S9/outputs/45salmon_mm38_100/quant.sf</v>
      </c>
      <c r="Q4" s="2">
        <v>30353333</v>
      </c>
      <c r="R4" s="2">
        <v>28907049</v>
      </c>
      <c r="S4" s="3">
        <f t="shared" ref="S4:S19" si="1">R4/Q4</f>
        <v>0.95235172361466858</v>
      </c>
      <c r="T4" s="2">
        <v>575009</v>
      </c>
      <c r="U4" s="2">
        <v>436235</v>
      </c>
      <c r="V4" s="2">
        <v>435040</v>
      </c>
      <c r="W4" s="2">
        <v>25535283</v>
      </c>
      <c r="X4" s="2">
        <v>2746343</v>
      </c>
      <c r="Y4" s="3">
        <f t="shared" si="0"/>
        <v>0.97836434289781704</v>
      </c>
      <c r="Z4" s="3">
        <f t="shared" ref="Z4:Z19" si="2">(W4+X4)/Q4</f>
        <v>0.93174696828186876</v>
      </c>
    </row>
    <row r="5" spans="1:1022" x14ac:dyDescent="0.2">
      <c r="A5" s="10" t="s">
        <v>140</v>
      </c>
      <c r="B5" s="10" t="s">
        <v>70</v>
      </c>
      <c r="C5" s="10" t="s">
        <v>26</v>
      </c>
      <c r="D5" s="10" t="s">
        <v>27</v>
      </c>
      <c r="E5">
        <v>2</v>
      </c>
      <c r="F5" s="10" t="s">
        <v>30</v>
      </c>
      <c r="G5" s="10" t="str">
        <f>D5&amp;"_"&amp;C5</f>
        <v>dLGN_ko</v>
      </c>
      <c r="H5" s="10" t="str">
        <f>F5&amp;"_"&amp;D5</f>
        <v>p08_dLGN</v>
      </c>
      <c r="I5" s="2" t="s">
        <v>35</v>
      </c>
      <c r="J5" s="2" t="s">
        <v>36</v>
      </c>
      <c r="K5" s="10">
        <v>1</v>
      </c>
      <c r="L5" s="10" t="s">
        <v>65</v>
      </c>
      <c r="O5" t="str">
        <f>"Opn4_bulkRNAseq/"&amp;A5&amp;"/outputs/40hisat2_mm38_100/mm38_100_genome-paired_gene_sreverse_gene_ID.count.xz"</f>
        <v>Opn4_bulkRNAseq/S2_KO_dLGN_S11/outputs/40hisat2_mm38_100/mm38_100_genome-paired_gene_sreverse_gene_ID.count.xz</v>
      </c>
      <c r="P5" s="1" t="str">
        <f>"Opn4_bulkRNAseq/"&amp;A5&amp;"_"&amp;B5&amp;"/outputs/45salmon_mm38_100/quant.sf"</f>
        <v>Opn4_bulkRNAseq/S2_KO_dLGN_S11_S11/outputs/45salmon_mm38_100/quant.sf</v>
      </c>
      <c r="Q5" s="2">
        <v>28920226</v>
      </c>
      <c r="R5" s="2">
        <v>27634102</v>
      </c>
      <c r="S5" s="3">
        <f t="shared" si="1"/>
        <v>0.95552856329684288</v>
      </c>
      <c r="T5" s="2">
        <v>522176</v>
      </c>
      <c r="U5" s="2">
        <v>419120</v>
      </c>
      <c r="V5" s="2">
        <v>344828</v>
      </c>
      <c r="W5" s="2">
        <v>24370241</v>
      </c>
      <c r="X5" s="2">
        <v>2647160</v>
      </c>
      <c r="Y5" s="3">
        <f t="shared" si="0"/>
        <v>0.97768333488817549</v>
      </c>
      <c r="Z5" s="3">
        <f t="shared" si="2"/>
        <v>0.93420435234496435</v>
      </c>
    </row>
    <row r="6" spans="1:1022" x14ac:dyDescent="0.2">
      <c r="A6" s="10" t="s">
        <v>141</v>
      </c>
      <c r="B6" s="10" t="s">
        <v>71</v>
      </c>
      <c r="C6" s="10" t="s">
        <v>26</v>
      </c>
      <c r="D6" s="10" t="s">
        <v>29</v>
      </c>
      <c r="E6">
        <v>2</v>
      </c>
      <c r="F6" s="10" t="s">
        <v>30</v>
      </c>
      <c r="G6" s="10" t="str">
        <f>D6&amp;"_"&amp;C6</f>
        <v>Retina_ko</v>
      </c>
      <c r="H6" s="10" t="str">
        <f>F6&amp;"_"&amp;D6</f>
        <v>p08_Retina</v>
      </c>
      <c r="I6" s="2" t="s">
        <v>37</v>
      </c>
      <c r="J6" s="2" t="s">
        <v>38</v>
      </c>
      <c r="K6" s="10">
        <v>1</v>
      </c>
      <c r="L6" s="10" t="s">
        <v>65</v>
      </c>
      <c r="O6" t="str">
        <f>"Opn4_bulkRNAseq/"&amp;A6&amp;"/outputs/40hisat2_mm38_100/mm38_100_genome-paired_gene_sreverse_gene_ID.count.xz"</f>
        <v>Opn4_bulkRNAseq/S2_KO_Ret_S10/outputs/40hisat2_mm38_100/mm38_100_genome-paired_gene_sreverse_gene_ID.count.xz</v>
      </c>
      <c r="P6" s="1" t="str">
        <f>"Opn4_bulkRNAseq/"&amp;A6&amp;"_"&amp;B6&amp;"/outputs/45salmon_mm38_100/quant.sf"</f>
        <v>Opn4_bulkRNAseq/S2_KO_Ret_S10_S10/outputs/45salmon_mm38_100/quant.sf</v>
      </c>
      <c r="Q6" s="2">
        <v>31912062</v>
      </c>
      <c r="R6" s="2">
        <v>30470517</v>
      </c>
      <c r="S6" s="3">
        <f t="shared" si="1"/>
        <v>0.95482758212239627</v>
      </c>
      <c r="T6" s="2">
        <v>599304</v>
      </c>
      <c r="U6" s="2">
        <v>448165</v>
      </c>
      <c r="V6" s="2">
        <v>394076</v>
      </c>
      <c r="W6" s="2">
        <v>27768098</v>
      </c>
      <c r="X6" s="2">
        <v>2124413</v>
      </c>
      <c r="Y6" s="3">
        <f t="shared" si="0"/>
        <v>0.98103064677241936</v>
      </c>
      <c r="Z6" s="3">
        <f t="shared" si="2"/>
        <v>0.93671512044567973</v>
      </c>
    </row>
    <row r="7" spans="1:1022" x14ac:dyDescent="0.2">
      <c r="A7" s="10" t="s">
        <v>142</v>
      </c>
      <c r="B7" s="10" t="s">
        <v>72</v>
      </c>
      <c r="C7" s="10" t="s">
        <v>26</v>
      </c>
      <c r="D7" s="10" t="s">
        <v>28</v>
      </c>
      <c r="E7">
        <v>2</v>
      </c>
      <c r="F7" s="10" t="s">
        <v>30</v>
      </c>
      <c r="G7" s="10" t="str">
        <f>D7&amp;"_"&amp;C7</f>
        <v>SCN_ko</v>
      </c>
      <c r="H7" s="10" t="str">
        <f>F7&amp;"_"&amp;D7</f>
        <v>p08_SCN</v>
      </c>
      <c r="I7" s="2" t="s">
        <v>39</v>
      </c>
      <c r="J7" s="2" t="s">
        <v>40</v>
      </c>
      <c r="K7" s="10">
        <v>1</v>
      </c>
      <c r="L7" s="10" t="s">
        <v>65</v>
      </c>
      <c r="O7" t="str">
        <f>"Opn4_bulkRNAseq/"&amp;A7&amp;"/outputs/40hisat2_mm38_100/mm38_100_genome-paired_gene_sreverse_gene_ID.count.xz"</f>
        <v>Opn4_bulkRNAseq/S2_KO_SCN_S12/outputs/40hisat2_mm38_100/mm38_100_genome-paired_gene_sreverse_gene_ID.count.xz</v>
      </c>
      <c r="P7" s="1" t="str">
        <f>"Opn4_bulkRNAseq/"&amp;A7&amp;"_"&amp;B7&amp;"/outputs/45salmon_mm38_100/quant.sf"</f>
        <v>Opn4_bulkRNAseq/S2_KO_SCN_S12_S12/outputs/45salmon_mm38_100/quant.sf</v>
      </c>
      <c r="Q7" s="2">
        <v>35001763</v>
      </c>
      <c r="R7" s="2">
        <v>33443661</v>
      </c>
      <c r="S7" s="3">
        <f t="shared" si="1"/>
        <v>0.95548504228201303</v>
      </c>
      <c r="T7" s="2">
        <v>608092</v>
      </c>
      <c r="U7" s="2">
        <v>511524</v>
      </c>
      <c r="V7" s="2">
        <v>438486</v>
      </c>
      <c r="W7" s="2">
        <v>29219546</v>
      </c>
      <c r="X7" s="2">
        <v>3435284</v>
      </c>
      <c r="Y7" s="3">
        <f t="shared" si="0"/>
        <v>0.97641313850179257</v>
      </c>
      <c r="Z7" s="3">
        <f t="shared" si="2"/>
        <v>0.93294814892609834</v>
      </c>
    </row>
    <row r="8" spans="1:1022" x14ac:dyDescent="0.2">
      <c r="A8" s="10" t="s">
        <v>143</v>
      </c>
      <c r="B8" s="10" t="s">
        <v>73</v>
      </c>
      <c r="C8" s="10" t="s">
        <v>25</v>
      </c>
      <c r="D8" s="10" t="s">
        <v>27</v>
      </c>
      <c r="E8">
        <v>1</v>
      </c>
      <c r="F8" s="10" t="s">
        <v>30</v>
      </c>
      <c r="G8" s="10" t="str">
        <f>D8&amp;"_"&amp;C8</f>
        <v>dLGN_het</v>
      </c>
      <c r="H8" s="10" t="str">
        <f>F8&amp;"_"&amp;D8</f>
        <v>p08_dLGN</v>
      </c>
      <c r="I8" s="2" t="s">
        <v>41</v>
      </c>
      <c r="J8" s="2" t="s">
        <v>42</v>
      </c>
      <c r="K8" s="10">
        <v>1</v>
      </c>
      <c r="L8" s="10" t="s">
        <v>65</v>
      </c>
      <c r="O8" t="str">
        <f>"Opn4_bulkRNAseq/"&amp;A8&amp;"/outputs/40hisat2_mm38_100/mm38_100_genome-paired_gene_sreverse_gene_ID.count.xz"</f>
        <v>Opn4_bulkRNAseq/S3_Het_dLGN_S2/outputs/40hisat2_mm38_100/mm38_100_genome-paired_gene_sreverse_gene_ID.count.xz</v>
      </c>
      <c r="P8" s="1" t="str">
        <f>"Opn4_bulkRNAseq/"&amp;A8&amp;"_"&amp;B8&amp;"/outputs/45salmon_mm38_100/quant.sf"</f>
        <v>Opn4_bulkRNAseq/S3_Het_dLGN_S2_S2/outputs/45salmon_mm38_100/quant.sf</v>
      </c>
      <c r="Q8" s="2">
        <v>26775961</v>
      </c>
      <c r="R8" s="2">
        <v>24963600</v>
      </c>
      <c r="S8" s="3">
        <f t="shared" si="1"/>
        <v>0.93231387661492338</v>
      </c>
      <c r="T8" s="2">
        <v>610240</v>
      </c>
      <c r="U8" s="2">
        <v>504416</v>
      </c>
      <c r="V8" s="2">
        <v>697705</v>
      </c>
      <c r="W8" s="2">
        <v>20066665</v>
      </c>
      <c r="X8" s="2">
        <v>3586209</v>
      </c>
      <c r="Y8" s="3">
        <f t="shared" si="0"/>
        <v>0.94749451200948576</v>
      </c>
      <c r="Z8" s="3">
        <f t="shared" si="2"/>
        <v>0.88336228156292873</v>
      </c>
    </row>
    <row r="9" spans="1:1022" x14ac:dyDescent="0.2">
      <c r="A9" s="10" t="s">
        <v>144</v>
      </c>
      <c r="B9" s="10" t="s">
        <v>74</v>
      </c>
      <c r="C9" s="10" t="s">
        <v>25</v>
      </c>
      <c r="D9" s="10" t="s">
        <v>29</v>
      </c>
      <c r="E9">
        <v>1</v>
      </c>
      <c r="F9" s="10" t="s">
        <v>30</v>
      </c>
      <c r="G9" s="10" t="str">
        <f>D9&amp;"_"&amp;C9</f>
        <v>Retina_het</v>
      </c>
      <c r="H9" s="10" t="str">
        <f>F9&amp;"_"&amp;D9</f>
        <v>p08_Retina</v>
      </c>
      <c r="I9" s="2" t="s">
        <v>43</v>
      </c>
      <c r="J9" s="2" t="s">
        <v>44</v>
      </c>
      <c r="K9" s="10">
        <v>1</v>
      </c>
      <c r="L9" s="10" t="s">
        <v>65</v>
      </c>
      <c r="O9" t="str">
        <f>"Opn4_bulkRNAseq/"&amp;A9&amp;"/outputs/40hisat2_mm38_100/mm38_100_genome-paired_gene_sreverse_gene_ID.count.xz"</f>
        <v>Opn4_bulkRNAseq/S3_Het_Ret_S1/outputs/40hisat2_mm38_100/mm38_100_genome-paired_gene_sreverse_gene_ID.count.xz</v>
      </c>
      <c r="P9" s="1" t="str">
        <f>"Opn4_bulkRNAseq/"&amp;A9&amp;"_"&amp;B9&amp;"/outputs/45salmon_mm38_100/quant.sf"</f>
        <v>Opn4_bulkRNAseq/S3_Het_Ret_S1_S1/outputs/45salmon_mm38_100/quant.sf</v>
      </c>
      <c r="Q9" s="2">
        <v>27060143</v>
      </c>
      <c r="R9" s="2">
        <v>25787541</v>
      </c>
      <c r="S9" s="3">
        <f t="shared" si="1"/>
        <v>0.95297134978185449</v>
      </c>
      <c r="T9" s="2">
        <v>560380</v>
      </c>
      <c r="U9" s="2">
        <v>351287</v>
      </c>
      <c r="V9" s="2">
        <v>360935</v>
      </c>
      <c r="W9" s="2">
        <v>23065904</v>
      </c>
      <c r="X9" s="2">
        <v>2146378</v>
      </c>
      <c r="Y9" s="3">
        <f t="shared" si="0"/>
        <v>0.97769236702328466</v>
      </c>
      <c r="Z9" s="3">
        <f t="shared" si="2"/>
        <v>0.93171281467359579</v>
      </c>
    </row>
    <row r="10" spans="1:1022" x14ac:dyDescent="0.2">
      <c r="A10" s="10" t="s">
        <v>145</v>
      </c>
      <c r="B10" s="10" t="s">
        <v>75</v>
      </c>
      <c r="C10" s="10" t="s">
        <v>25</v>
      </c>
      <c r="D10" s="10" t="s">
        <v>28</v>
      </c>
      <c r="E10">
        <v>1</v>
      </c>
      <c r="F10" s="10" t="s">
        <v>30</v>
      </c>
      <c r="G10" s="10" t="str">
        <f>D10&amp;"_"&amp;C10</f>
        <v>SCN_het</v>
      </c>
      <c r="H10" s="10" t="str">
        <f>F10&amp;"_"&amp;D10</f>
        <v>p08_SCN</v>
      </c>
      <c r="I10" s="2" t="s">
        <v>45</v>
      </c>
      <c r="J10" s="2" t="s">
        <v>46</v>
      </c>
      <c r="K10" s="10">
        <v>1</v>
      </c>
      <c r="L10" s="10" t="s">
        <v>65</v>
      </c>
      <c r="O10" t="str">
        <f>"Opn4_bulkRNAseq/"&amp;A10&amp;"/outputs/40hisat2_mm38_100/mm38_100_genome-paired_gene_sreverse_gene_ID.count.xz"</f>
        <v>Opn4_bulkRNAseq/S3_Het_SCN_S3/outputs/40hisat2_mm38_100/mm38_100_genome-paired_gene_sreverse_gene_ID.count.xz</v>
      </c>
      <c r="P10" s="1" t="str">
        <f>"Opn4_bulkRNAseq/"&amp;A10&amp;"_"&amp;B10&amp;"/outputs/45salmon_mm38_100/quant.sf"</f>
        <v>Opn4_bulkRNAseq/S3_Het_SCN_S3_S3/outputs/45salmon_mm38_100/quant.sf</v>
      </c>
      <c r="Q10" s="2">
        <v>24577482</v>
      </c>
      <c r="R10" s="2">
        <v>23351833</v>
      </c>
      <c r="S10" s="3">
        <f t="shared" si="1"/>
        <v>0.95013122174191811</v>
      </c>
      <c r="T10" s="2">
        <v>403934</v>
      </c>
      <c r="U10" s="2">
        <v>439804</v>
      </c>
      <c r="V10" s="2">
        <v>381911</v>
      </c>
      <c r="W10" s="2">
        <v>19563081</v>
      </c>
      <c r="X10" s="2">
        <v>3064323</v>
      </c>
      <c r="Y10" s="3">
        <f t="shared" si="0"/>
        <v>0.96897763871469966</v>
      </c>
      <c r="Z10" s="3">
        <f t="shared" si="2"/>
        <v>0.92065590771259642</v>
      </c>
    </row>
    <row r="11" spans="1:1022" x14ac:dyDescent="0.2">
      <c r="A11" s="10" t="s">
        <v>146</v>
      </c>
      <c r="B11" s="10" t="s">
        <v>76</v>
      </c>
      <c r="C11" s="10" t="s">
        <v>26</v>
      </c>
      <c r="D11" s="10" t="s">
        <v>27</v>
      </c>
      <c r="E11">
        <v>3</v>
      </c>
      <c r="F11" s="10" t="s">
        <v>30</v>
      </c>
      <c r="G11" s="10" t="str">
        <f>D11&amp;"_"&amp;C11</f>
        <v>dLGN_ko</v>
      </c>
      <c r="H11" s="10" t="str">
        <f>F11&amp;"_"&amp;D11</f>
        <v>p08_dLGN</v>
      </c>
      <c r="I11" s="2" t="s">
        <v>47</v>
      </c>
      <c r="J11" s="2" t="s">
        <v>48</v>
      </c>
      <c r="K11" s="10">
        <v>1</v>
      </c>
      <c r="L11" s="10" t="s">
        <v>65</v>
      </c>
      <c r="O11" t="str">
        <f>"Opn4_bulkRNAseq/"&amp;A11&amp;"/outputs/40hisat2_mm38_100/mm38_100_genome-paired_gene_sreverse_gene_ID.count.xz"</f>
        <v>Opn4_bulkRNAseq/S3_KO_dLGN_S14/outputs/40hisat2_mm38_100/mm38_100_genome-paired_gene_sreverse_gene_ID.count.xz</v>
      </c>
      <c r="P11" s="1" t="str">
        <f>"Opn4_bulkRNAseq/"&amp;A11&amp;"_"&amp;B11&amp;"/outputs/45salmon_mm38_100/quant.sf"</f>
        <v>Opn4_bulkRNAseq/S3_KO_dLGN_S14_S14/outputs/45salmon_mm38_100/quant.sf</v>
      </c>
      <c r="Q11" s="2">
        <v>31817618</v>
      </c>
      <c r="R11" s="2">
        <v>30324133</v>
      </c>
      <c r="S11" s="3">
        <f t="shared" si="1"/>
        <v>0.95306106824212922</v>
      </c>
      <c r="T11" s="2">
        <v>566295</v>
      </c>
      <c r="U11" s="2">
        <v>479228</v>
      </c>
      <c r="V11" s="2">
        <v>447962</v>
      </c>
      <c r="W11" s="2">
        <v>26835877</v>
      </c>
      <c r="X11" s="2">
        <v>2847938</v>
      </c>
      <c r="Y11" s="3">
        <f t="shared" si="0"/>
        <v>0.97888421080332289</v>
      </c>
      <c r="Z11" s="3">
        <f t="shared" si="2"/>
        <v>0.93293643163356854</v>
      </c>
    </row>
    <row r="12" spans="1:1022" x14ac:dyDescent="0.2">
      <c r="A12" s="10" t="s">
        <v>147</v>
      </c>
      <c r="B12" s="10" t="s">
        <v>77</v>
      </c>
      <c r="C12" s="10" t="s">
        <v>26</v>
      </c>
      <c r="D12" s="10" t="s">
        <v>29</v>
      </c>
      <c r="E12">
        <v>3</v>
      </c>
      <c r="F12" s="10" t="s">
        <v>30</v>
      </c>
      <c r="G12" s="10" t="str">
        <f>D12&amp;"_"&amp;C12</f>
        <v>Retina_ko</v>
      </c>
      <c r="H12" s="10" t="str">
        <f>F12&amp;"_"&amp;D12</f>
        <v>p08_Retina</v>
      </c>
      <c r="I12" s="2" t="s">
        <v>49</v>
      </c>
      <c r="J12" s="2" t="s">
        <v>50</v>
      </c>
      <c r="K12" s="10">
        <v>1</v>
      </c>
      <c r="L12" s="10" t="s">
        <v>65</v>
      </c>
      <c r="O12" t="str">
        <f>"Opn4_bulkRNAseq/"&amp;A12&amp;"/outputs/40hisat2_mm38_100/mm38_100_genome-paired_gene_sreverse_gene_ID.count.xz"</f>
        <v>Opn4_bulkRNAseq/S3_KO_Ret_S13/outputs/40hisat2_mm38_100/mm38_100_genome-paired_gene_sreverse_gene_ID.count.xz</v>
      </c>
      <c r="P12" s="1" t="str">
        <f>"Opn4_bulkRNAseq/"&amp;A12&amp;"_"&amp;B12&amp;"/outputs/45salmon_mm38_100/quant.sf"</f>
        <v>Opn4_bulkRNAseq/S3_KO_Ret_S13_S13/outputs/45salmon_mm38_100/quant.sf</v>
      </c>
      <c r="Q12" s="2">
        <v>28023600</v>
      </c>
      <c r="R12" s="2">
        <v>26730856</v>
      </c>
      <c r="S12" s="3">
        <f t="shared" si="1"/>
        <v>0.95386945288970726</v>
      </c>
      <c r="T12" s="2">
        <v>507145</v>
      </c>
      <c r="U12" s="2">
        <v>397703</v>
      </c>
      <c r="V12" s="2">
        <v>387896</v>
      </c>
      <c r="W12" s="2">
        <v>24243923</v>
      </c>
      <c r="X12" s="2">
        <v>2022452</v>
      </c>
      <c r="Y12" s="3">
        <f t="shared" si="0"/>
        <v>0.98262378877803236</v>
      </c>
      <c r="Z12" s="3">
        <f t="shared" si="2"/>
        <v>0.93729481579811302</v>
      </c>
    </row>
    <row r="13" spans="1:1022" x14ac:dyDescent="0.2">
      <c r="A13" s="10" t="s">
        <v>148</v>
      </c>
      <c r="B13" s="10" t="s">
        <v>78</v>
      </c>
      <c r="C13" s="10" t="s">
        <v>26</v>
      </c>
      <c r="D13" s="10" t="s">
        <v>28</v>
      </c>
      <c r="E13">
        <v>3</v>
      </c>
      <c r="F13" s="10" t="s">
        <v>30</v>
      </c>
      <c r="G13" s="10" t="str">
        <f>D13&amp;"_"&amp;C13</f>
        <v>SCN_ko</v>
      </c>
      <c r="H13" s="10" t="str">
        <f>F13&amp;"_"&amp;D13</f>
        <v>p08_SCN</v>
      </c>
      <c r="I13" s="2" t="s">
        <v>51</v>
      </c>
      <c r="J13" s="2" t="s">
        <v>52</v>
      </c>
      <c r="K13" s="10">
        <v>1</v>
      </c>
      <c r="L13" s="10" t="s">
        <v>65</v>
      </c>
      <c r="O13" t="str">
        <f>"Opn4_bulkRNAseq/"&amp;A13&amp;"/outputs/40hisat2_mm38_100/mm38_100_genome-paired_gene_sreverse_gene_ID.count.xz"</f>
        <v>Opn4_bulkRNAseq/S3_KO_SCN_S15/outputs/40hisat2_mm38_100/mm38_100_genome-paired_gene_sreverse_gene_ID.count.xz</v>
      </c>
      <c r="P13" s="1" t="str">
        <f>"Opn4_bulkRNAseq/"&amp;A13&amp;"_"&amp;B13&amp;"/outputs/45salmon_mm38_100/quant.sf"</f>
        <v>Opn4_bulkRNAseq/S3_KO_SCN_S15_S15/outputs/45salmon_mm38_100/quant.sf</v>
      </c>
      <c r="Q13" s="2">
        <v>34153703</v>
      </c>
      <c r="R13" s="2">
        <v>32621233</v>
      </c>
      <c r="S13" s="3">
        <f t="shared" si="1"/>
        <v>0.95513019481372197</v>
      </c>
      <c r="T13" s="2">
        <v>582112</v>
      </c>
      <c r="U13" s="2">
        <v>478217</v>
      </c>
      <c r="V13" s="2">
        <v>472141</v>
      </c>
      <c r="W13" s="2">
        <v>29007069</v>
      </c>
      <c r="X13" s="2">
        <v>2953165</v>
      </c>
      <c r="Y13" s="3">
        <f t="shared" si="0"/>
        <v>0.97973715463177002</v>
      </c>
      <c r="Z13" s="3">
        <f t="shared" si="2"/>
        <v>0.93577653936968419</v>
      </c>
    </row>
    <row r="14" spans="1:1022" x14ac:dyDescent="0.2">
      <c r="A14" s="10" t="s">
        <v>149</v>
      </c>
      <c r="B14" s="10" t="s">
        <v>79</v>
      </c>
      <c r="C14" s="10" t="s">
        <v>25</v>
      </c>
      <c r="D14" s="10" t="s">
        <v>27</v>
      </c>
      <c r="E14">
        <v>2</v>
      </c>
      <c r="F14" s="10" t="s">
        <v>30</v>
      </c>
      <c r="G14" s="10" t="str">
        <f>D14&amp;"_"&amp;C14</f>
        <v>dLGN_het</v>
      </c>
      <c r="H14" s="10" t="str">
        <f>F14&amp;"_"&amp;D14</f>
        <v>p08_dLGN</v>
      </c>
      <c r="I14" s="2" t="s">
        <v>53</v>
      </c>
      <c r="J14" s="2" t="s">
        <v>54</v>
      </c>
      <c r="K14" s="10">
        <v>1</v>
      </c>
      <c r="L14" s="10" t="s">
        <v>65</v>
      </c>
      <c r="O14" t="str">
        <f>"Opn4_bulkRNAseq/"&amp;A14&amp;"/outputs/40hisat2_mm38_100/mm38_100_genome-paired_gene_sreverse_gene_ID.count.xz"</f>
        <v>Opn4_bulkRNAseq/S4_Het_dLGN_S5/outputs/40hisat2_mm38_100/mm38_100_genome-paired_gene_sreverse_gene_ID.count.xz</v>
      </c>
      <c r="P14" s="1" t="str">
        <f>"Opn4_bulkRNAseq/"&amp;A14&amp;"_"&amp;B14&amp;"/outputs/45salmon_mm38_100/quant.sf"</f>
        <v>Opn4_bulkRNAseq/S4_Het_dLGN_S5_S5/outputs/45salmon_mm38_100/quant.sf</v>
      </c>
      <c r="Q14" s="2">
        <v>27407895</v>
      </c>
      <c r="R14" s="2">
        <v>25809591</v>
      </c>
      <c r="S14" s="3">
        <f t="shared" si="1"/>
        <v>0.94168454016625502</v>
      </c>
      <c r="T14" s="2">
        <v>550063</v>
      </c>
      <c r="U14" s="2">
        <v>473425</v>
      </c>
      <c r="V14" s="2">
        <v>574816</v>
      </c>
      <c r="W14" s="2">
        <v>20627922</v>
      </c>
      <c r="X14" s="2">
        <v>3753299</v>
      </c>
      <c r="Y14" s="3">
        <f t="shared" si="0"/>
        <v>0.9446573949970769</v>
      </c>
      <c r="Z14" s="3">
        <f t="shared" si="2"/>
        <v>0.88956926462247465</v>
      </c>
    </row>
    <row r="15" spans="1:1022" x14ac:dyDescent="0.2">
      <c r="A15" s="10" t="s">
        <v>150</v>
      </c>
      <c r="B15" s="10" t="s">
        <v>80</v>
      </c>
      <c r="C15" s="10" t="s">
        <v>25</v>
      </c>
      <c r="D15" s="10" t="s">
        <v>29</v>
      </c>
      <c r="E15">
        <v>2</v>
      </c>
      <c r="F15" s="10" t="s">
        <v>30</v>
      </c>
      <c r="G15" s="10" t="str">
        <f>D15&amp;"_"&amp;C15</f>
        <v>Retina_het</v>
      </c>
      <c r="H15" s="10" t="str">
        <f>F15&amp;"_"&amp;D15</f>
        <v>p08_Retina</v>
      </c>
      <c r="I15" s="2" t="s">
        <v>55</v>
      </c>
      <c r="J15" s="2" t="s">
        <v>56</v>
      </c>
      <c r="K15" s="10">
        <v>1</v>
      </c>
      <c r="L15" s="10" t="s">
        <v>65</v>
      </c>
      <c r="O15" t="str">
        <f>"Opn4_bulkRNAseq/"&amp;A15&amp;"/outputs/40hisat2_mm38_100/mm38_100_genome-paired_gene_sreverse_gene_ID.count.xz"</f>
        <v>Opn4_bulkRNAseq/S4_Het_Ret_S4/outputs/40hisat2_mm38_100/mm38_100_genome-paired_gene_sreverse_gene_ID.count.xz</v>
      </c>
      <c r="P15" s="1" t="str">
        <f>"Opn4_bulkRNAseq/"&amp;A15&amp;"_"&amp;B15&amp;"/outputs/45salmon_mm38_100/quant.sf"</f>
        <v>Opn4_bulkRNAseq/S4_Het_Ret_S4_S4/outputs/45salmon_mm38_100/quant.sf</v>
      </c>
      <c r="Q15" s="2">
        <v>26590787</v>
      </c>
      <c r="R15" s="2">
        <v>25288044</v>
      </c>
      <c r="S15" s="3">
        <f t="shared" si="1"/>
        <v>0.95100773060985366</v>
      </c>
      <c r="T15" s="2">
        <v>342494</v>
      </c>
      <c r="U15" s="2">
        <v>547286</v>
      </c>
      <c r="V15" s="2">
        <v>412963</v>
      </c>
      <c r="W15" s="2">
        <v>22410417</v>
      </c>
      <c r="X15" s="2">
        <v>2018092</v>
      </c>
      <c r="Y15" s="3">
        <f t="shared" si="0"/>
        <v>0.9660102220638338</v>
      </c>
      <c r="Z15" s="3">
        <f t="shared" si="2"/>
        <v>0.91868318903084745</v>
      </c>
    </row>
    <row r="16" spans="1:1022" x14ac:dyDescent="0.2">
      <c r="A16" s="10" t="s">
        <v>151</v>
      </c>
      <c r="B16" s="10" t="s">
        <v>81</v>
      </c>
      <c r="C16" s="10" t="s">
        <v>25</v>
      </c>
      <c r="D16" s="10" t="s">
        <v>28</v>
      </c>
      <c r="E16">
        <v>2</v>
      </c>
      <c r="F16" s="10" t="s">
        <v>30</v>
      </c>
      <c r="G16" s="10" t="str">
        <f>D16&amp;"_"&amp;C16</f>
        <v>SCN_het</v>
      </c>
      <c r="H16" s="10" t="str">
        <f>F16&amp;"_"&amp;D16</f>
        <v>p08_SCN</v>
      </c>
      <c r="I16" s="2" t="s">
        <v>57</v>
      </c>
      <c r="J16" s="2" t="s">
        <v>58</v>
      </c>
      <c r="K16" s="10">
        <v>1</v>
      </c>
      <c r="L16" s="10" t="s">
        <v>65</v>
      </c>
      <c r="O16" t="str">
        <f>"Opn4_bulkRNAseq/"&amp;A16&amp;"/outputs/40hisat2_mm38_100/mm38_100_genome-paired_gene_sreverse_gene_ID.count.xz"</f>
        <v>Opn4_bulkRNAseq/S4_Het_SCN_S6/outputs/40hisat2_mm38_100/mm38_100_genome-paired_gene_sreverse_gene_ID.count.xz</v>
      </c>
      <c r="P16" s="1" t="str">
        <f>"Opn4_bulkRNAseq/"&amp;A16&amp;"_"&amp;B16&amp;"/outputs/45salmon_mm38_100/quant.sf"</f>
        <v>Opn4_bulkRNAseq/S4_Het_SCN_S6_S6/outputs/45salmon_mm38_100/quant.sf</v>
      </c>
      <c r="Q16" s="2">
        <v>30511943</v>
      </c>
      <c r="R16" s="2">
        <v>28413930</v>
      </c>
      <c r="S16" s="3">
        <f t="shared" si="1"/>
        <v>0.93123961328847527</v>
      </c>
      <c r="T16" s="2">
        <v>639439</v>
      </c>
      <c r="U16" s="2">
        <v>505318</v>
      </c>
      <c r="V16" s="2">
        <v>953256</v>
      </c>
      <c r="W16" s="2">
        <v>22660653</v>
      </c>
      <c r="X16" s="2">
        <v>4189591</v>
      </c>
      <c r="Y16" s="3">
        <f t="shared" si="0"/>
        <v>0.94496762679432234</v>
      </c>
      <c r="Z16" s="3">
        <f t="shared" si="2"/>
        <v>0.87999128734607301</v>
      </c>
    </row>
    <row r="17" spans="1:1020" x14ac:dyDescent="0.2">
      <c r="A17" s="10" t="s">
        <v>152</v>
      </c>
      <c r="B17" s="10" t="s">
        <v>82</v>
      </c>
      <c r="C17" s="10" t="s">
        <v>25</v>
      </c>
      <c r="D17" s="10" t="s">
        <v>27</v>
      </c>
      <c r="E17">
        <v>3</v>
      </c>
      <c r="F17" s="10" t="s">
        <v>30</v>
      </c>
      <c r="G17" s="10" t="str">
        <f>D17&amp;"_"&amp;C17</f>
        <v>dLGN_het</v>
      </c>
      <c r="H17" s="10" t="str">
        <f>F17&amp;"_"&amp;D17</f>
        <v>p08_dLGN</v>
      </c>
      <c r="I17" s="2" t="s">
        <v>59</v>
      </c>
      <c r="J17" s="2" t="s">
        <v>60</v>
      </c>
      <c r="K17" s="10">
        <v>1</v>
      </c>
      <c r="L17" s="10" t="s">
        <v>65</v>
      </c>
      <c r="O17" t="str">
        <f>"Opn4_bulkRNAseq/"&amp;A17&amp;"/outputs/40hisat2_mm38_100/mm38_100_genome-paired_gene_sreverse_gene_ID.count.xz"</f>
        <v>Opn4_bulkRNAseq/S5_Het_dLGN_S17/outputs/40hisat2_mm38_100/mm38_100_genome-paired_gene_sreverse_gene_ID.count.xz</v>
      </c>
      <c r="P17" s="1" t="str">
        <f>"Opn4_bulkRNAseq/"&amp;A17&amp;"_"&amp;B17&amp;"/outputs/45salmon_mm38_100/quant.sf"</f>
        <v>Opn4_bulkRNAseq/S5_Het_dLGN_S17_S17/outputs/45salmon_mm38_100/quant.sf</v>
      </c>
      <c r="Q17" s="2">
        <v>31814675</v>
      </c>
      <c r="R17" s="2">
        <v>30328123</v>
      </c>
      <c r="S17" s="3">
        <f t="shared" si="1"/>
        <v>0.95327464448403132</v>
      </c>
      <c r="T17" s="2">
        <v>608188</v>
      </c>
      <c r="U17" s="2">
        <v>478103</v>
      </c>
      <c r="V17" s="2">
        <v>400261</v>
      </c>
      <c r="W17" s="2">
        <v>26899796</v>
      </c>
      <c r="X17" s="2">
        <v>2812930</v>
      </c>
      <c r="Y17" s="3">
        <f t="shared" si="0"/>
        <v>0.97970870139243371</v>
      </c>
      <c r="Z17" s="3">
        <f t="shared" si="2"/>
        <v>0.93393146401778426</v>
      </c>
    </row>
    <row r="18" spans="1:1020" x14ac:dyDescent="0.2">
      <c r="A18" s="10" t="s">
        <v>153</v>
      </c>
      <c r="B18" s="10" t="s">
        <v>83</v>
      </c>
      <c r="C18" s="10" t="s">
        <v>25</v>
      </c>
      <c r="D18" s="10" t="s">
        <v>29</v>
      </c>
      <c r="E18">
        <v>3</v>
      </c>
      <c r="F18" s="10" t="s">
        <v>30</v>
      </c>
      <c r="G18" s="10" t="str">
        <f>D18&amp;"_"&amp;C18</f>
        <v>Retina_het</v>
      </c>
      <c r="H18" s="10" t="str">
        <f>F18&amp;"_"&amp;D18</f>
        <v>p08_Retina</v>
      </c>
      <c r="I18" s="2" t="s">
        <v>61</v>
      </c>
      <c r="J18" s="2" t="s">
        <v>62</v>
      </c>
      <c r="K18" s="10">
        <v>1</v>
      </c>
      <c r="L18" s="10" t="s">
        <v>65</v>
      </c>
      <c r="O18" t="str">
        <f>"Opn4_bulkRNAseq/"&amp;A18&amp;"/outputs/40hisat2_mm38_100/mm38_100_genome-paired_gene_sreverse_gene_ID.count.xz"</f>
        <v>Opn4_bulkRNAseq/S5_Het_Ret_S16/outputs/40hisat2_mm38_100/mm38_100_genome-paired_gene_sreverse_gene_ID.count.xz</v>
      </c>
      <c r="P18" s="1" t="str">
        <f>"Opn4_bulkRNAseq/"&amp;A18&amp;"_"&amp;B18&amp;"/outputs/45salmon_mm38_100/quant.sf"</f>
        <v>Opn4_bulkRNAseq/S5_Het_Ret_S16_S16/outputs/45salmon_mm38_100/quant.sf</v>
      </c>
      <c r="Q18" s="2">
        <v>35517185</v>
      </c>
      <c r="R18" s="2">
        <v>33871929</v>
      </c>
      <c r="S18" s="3">
        <f t="shared" si="1"/>
        <v>0.95367718472057961</v>
      </c>
      <c r="T18" s="2">
        <v>681683</v>
      </c>
      <c r="U18" s="2">
        <v>494910</v>
      </c>
      <c r="V18" s="2">
        <v>468663</v>
      </c>
      <c r="W18" s="2">
        <v>30803542</v>
      </c>
      <c r="X18" s="2">
        <v>2346864</v>
      </c>
      <c r="Y18" s="3">
        <f t="shared" si="0"/>
        <v>0.97869849691760991</v>
      </c>
      <c r="Z18" s="3">
        <f t="shared" si="2"/>
        <v>0.93336242723064911</v>
      </c>
    </row>
    <row r="19" spans="1:1020" x14ac:dyDescent="0.2">
      <c r="A19" s="10" t="s">
        <v>154</v>
      </c>
      <c r="B19" s="10" t="s">
        <v>84</v>
      </c>
      <c r="C19" s="10" t="s">
        <v>25</v>
      </c>
      <c r="D19" s="10" t="s">
        <v>28</v>
      </c>
      <c r="E19">
        <v>3</v>
      </c>
      <c r="F19" s="10" t="s">
        <v>30</v>
      </c>
      <c r="G19" s="10" t="str">
        <f>D19&amp;"_"&amp;C19</f>
        <v>SCN_het</v>
      </c>
      <c r="H19" s="10" t="str">
        <f>F19&amp;"_"&amp;D19</f>
        <v>p08_SCN</v>
      </c>
      <c r="I19" s="2" t="s">
        <v>63</v>
      </c>
      <c r="J19" s="2" t="s">
        <v>64</v>
      </c>
      <c r="K19" s="10">
        <v>1</v>
      </c>
      <c r="L19" s="10" t="s">
        <v>65</v>
      </c>
      <c r="O19" t="str">
        <f>"Opn4_bulkRNAseq/"&amp;A19&amp;"/outputs/40hisat2_mm38_100/mm38_100_genome-paired_gene_sreverse_gene_ID.count.xz"</f>
        <v>Opn4_bulkRNAseq/S5_Het_SCN_S18/outputs/40hisat2_mm38_100/mm38_100_genome-paired_gene_sreverse_gene_ID.count.xz</v>
      </c>
      <c r="P19" s="1" t="str">
        <f>"Opn4_bulkRNAseq/"&amp;A19&amp;"_"&amp;B19&amp;"/outputs/45salmon_mm38_100/quant.sf"</f>
        <v>Opn4_bulkRNAseq/S5_Het_SCN_S18_S18/outputs/45salmon_mm38_100/quant.sf</v>
      </c>
      <c r="Q19" s="2">
        <v>31612618</v>
      </c>
      <c r="R19" s="2">
        <v>30239522</v>
      </c>
      <c r="S19" s="3">
        <f t="shared" si="1"/>
        <v>0.95656493872162063</v>
      </c>
      <c r="T19" s="2">
        <v>513673</v>
      </c>
      <c r="U19" s="2">
        <v>469205</v>
      </c>
      <c r="V19" s="2">
        <v>390218</v>
      </c>
      <c r="W19" s="2">
        <v>26890436</v>
      </c>
      <c r="X19" s="2">
        <v>2790985</v>
      </c>
      <c r="Y19" s="3">
        <f t="shared" si="0"/>
        <v>0.98154398736858339</v>
      </c>
      <c r="Z19" s="3">
        <f t="shared" si="2"/>
        <v>0.93891056412980411</v>
      </c>
    </row>
    <row r="20" spans="1:1020" s="8" customFormat="1" x14ac:dyDescent="0.2">
      <c r="A20" s="11" t="s">
        <v>88</v>
      </c>
      <c r="B20" s="11" t="s">
        <v>74</v>
      </c>
      <c r="C20" s="11" t="s">
        <v>25</v>
      </c>
      <c r="D20" s="11" t="s">
        <v>29</v>
      </c>
      <c r="E20" s="5">
        <v>4</v>
      </c>
      <c r="F20" s="11" t="s">
        <v>30</v>
      </c>
      <c r="G20" s="11" t="s">
        <v>92</v>
      </c>
      <c r="H20" s="11" t="s">
        <v>92</v>
      </c>
      <c r="I20" s="5" t="s">
        <v>89</v>
      </c>
      <c r="J20" s="5" t="s">
        <v>90</v>
      </c>
      <c r="K20" s="11">
        <v>2</v>
      </c>
      <c r="L20" s="11" t="s">
        <v>91</v>
      </c>
      <c r="M20" s="5"/>
      <c r="N20" s="5"/>
      <c r="O20" s="5" t="str">
        <f>"Opn4_bulkRNAseq/"&amp;A20&amp;"/outputs/40hisat2_mm38_100/mm38_100_genome-paired_gene_sreverse_gene_ID.count.xz"</f>
        <v>Opn4_bulkRNAseq/S1_Het_Ret_S1/outputs/40hisat2_mm38_100/mm38_100_genome-paired_gene_sreverse_gene_ID.count.xz</v>
      </c>
      <c r="P20" s="1" t="str">
        <f>"Opn4_bulkRNAseq/"&amp;A20&amp;"/outputs/45salmon_mm38_100/quant.sf"</f>
        <v>Opn4_bulkRNAseq/S1_Het_Ret_S1/outputs/45salmon_mm38_100/quant.sf</v>
      </c>
      <c r="Q20" s="5">
        <v>24795809</v>
      </c>
      <c r="R20" s="5">
        <v>23170283</v>
      </c>
      <c r="S20" s="6">
        <f>R20/Q20</f>
        <v>0.93444351825746041</v>
      </c>
      <c r="T20" s="5">
        <v>665514</v>
      </c>
      <c r="U20" s="5">
        <v>495482</v>
      </c>
      <c r="V20" s="5">
        <v>464530</v>
      </c>
      <c r="W20" s="5">
        <v>20950857</v>
      </c>
      <c r="X20" s="5">
        <v>1747883</v>
      </c>
      <c r="Y20" s="7">
        <f t="shared" ref="Y20:Y30" si="3">(X20+W20)/R20</f>
        <v>0.97964880273581467</v>
      </c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  <c r="SL20" s="5"/>
      <c r="SM20" s="5"/>
      <c r="SN20" s="5"/>
      <c r="SO20" s="5"/>
      <c r="SP20" s="5"/>
      <c r="SQ20" s="5"/>
      <c r="SR20" s="5"/>
      <c r="SS20" s="5"/>
      <c r="ST20" s="5"/>
      <c r="SU20" s="5"/>
      <c r="SV20" s="5"/>
      <c r="SW20" s="5"/>
      <c r="SX20" s="5"/>
      <c r="SY20" s="5"/>
      <c r="SZ20" s="5"/>
      <c r="TA20" s="5"/>
      <c r="TB20" s="5"/>
      <c r="TC20" s="5"/>
      <c r="TD20" s="5"/>
      <c r="TE20" s="5"/>
      <c r="TF20" s="5"/>
      <c r="TG20" s="5"/>
      <c r="TH20" s="5"/>
      <c r="TI20" s="5"/>
      <c r="TJ20" s="5"/>
      <c r="TK20" s="5"/>
      <c r="TL20" s="5"/>
      <c r="TM20" s="5"/>
      <c r="TN20" s="5"/>
      <c r="TO20" s="5"/>
      <c r="TP20" s="5"/>
      <c r="TQ20" s="5"/>
      <c r="TR20" s="5"/>
      <c r="TS20" s="5"/>
      <c r="TT20" s="5"/>
      <c r="TU20" s="5"/>
      <c r="TV20" s="5"/>
      <c r="TW20" s="5"/>
      <c r="TX20" s="5"/>
      <c r="TY20" s="5"/>
      <c r="TZ20" s="5"/>
      <c r="UA20" s="5"/>
      <c r="UB20" s="5"/>
      <c r="UC20" s="5"/>
      <c r="UD20" s="5"/>
      <c r="UE20" s="5"/>
      <c r="UF20" s="5"/>
      <c r="UG20" s="5"/>
      <c r="UH20" s="5"/>
      <c r="UI20" s="5"/>
      <c r="UJ20" s="5"/>
      <c r="UK20" s="5"/>
      <c r="UL20" s="5"/>
      <c r="UM20" s="5"/>
      <c r="UN20" s="5"/>
      <c r="UO20" s="5"/>
      <c r="UP20" s="5"/>
      <c r="UQ20" s="5"/>
      <c r="UR20" s="5"/>
      <c r="US20" s="5"/>
      <c r="UT20" s="5"/>
      <c r="UU20" s="5"/>
      <c r="UV20" s="5"/>
      <c r="UW20" s="5"/>
      <c r="UX20" s="5"/>
      <c r="UY20" s="5"/>
      <c r="UZ20" s="5"/>
      <c r="VA20" s="5"/>
      <c r="VB20" s="5"/>
      <c r="VC20" s="5"/>
      <c r="VD20" s="5"/>
      <c r="VE20" s="5"/>
      <c r="VF20" s="5"/>
      <c r="VG20" s="5"/>
      <c r="VH20" s="5"/>
      <c r="VI20" s="5"/>
      <c r="VJ20" s="5"/>
      <c r="VK20" s="5"/>
      <c r="VL20" s="5"/>
      <c r="VM20" s="5"/>
      <c r="VN20" s="5"/>
      <c r="VO20" s="5"/>
      <c r="VP20" s="5"/>
      <c r="VQ20" s="5"/>
      <c r="VR20" s="5"/>
      <c r="VS20" s="5"/>
      <c r="VT20" s="5"/>
      <c r="VU20" s="5"/>
      <c r="VV20" s="5"/>
      <c r="VW20" s="5"/>
      <c r="VX20" s="5"/>
      <c r="VY20" s="5"/>
      <c r="VZ20" s="5"/>
      <c r="WA20" s="5"/>
      <c r="WB20" s="5"/>
      <c r="WC20" s="5"/>
      <c r="WD20" s="5"/>
      <c r="WE20" s="5"/>
      <c r="WF20" s="5"/>
      <c r="WG20" s="5"/>
      <c r="WH20" s="5"/>
      <c r="WI20" s="5"/>
      <c r="WJ20" s="5"/>
      <c r="WK20" s="5"/>
      <c r="WL20" s="5"/>
      <c r="WM20" s="5"/>
      <c r="WN20" s="5"/>
      <c r="WO20" s="5"/>
      <c r="WP20" s="5"/>
      <c r="WQ20" s="5"/>
      <c r="WR20" s="5"/>
      <c r="WS20" s="5"/>
      <c r="WT20" s="5"/>
      <c r="WU20" s="5"/>
      <c r="WV20" s="5"/>
      <c r="WW20" s="5"/>
      <c r="WX20" s="5"/>
      <c r="WY20" s="5"/>
      <c r="WZ20" s="5"/>
      <c r="XA20" s="5"/>
      <c r="XB20" s="5"/>
      <c r="XC20" s="5"/>
      <c r="XD20" s="5"/>
      <c r="XE20" s="5"/>
      <c r="XF20" s="5"/>
      <c r="XG20" s="5"/>
      <c r="XH20" s="5"/>
      <c r="XI20" s="5"/>
      <c r="XJ20" s="5"/>
      <c r="XK20" s="5"/>
      <c r="XL20" s="5"/>
      <c r="XM20" s="5"/>
      <c r="XN20" s="5"/>
      <c r="XO20" s="5"/>
      <c r="XP20" s="5"/>
      <c r="XQ20" s="5"/>
      <c r="XR20" s="5"/>
      <c r="XS20" s="5"/>
      <c r="XT20" s="5"/>
      <c r="XU20" s="5"/>
      <c r="XV20" s="5"/>
      <c r="XW20" s="5"/>
      <c r="XX20" s="5"/>
      <c r="XY20" s="5"/>
      <c r="XZ20" s="5"/>
      <c r="YA20" s="5"/>
      <c r="YB20" s="5"/>
      <c r="YC20" s="5"/>
      <c r="YD20" s="5"/>
      <c r="YE20" s="5"/>
      <c r="YF20" s="5"/>
      <c r="YG20" s="5"/>
      <c r="YH20" s="5"/>
      <c r="YI20" s="5"/>
      <c r="YJ20" s="5"/>
      <c r="YK20" s="5"/>
      <c r="YL20" s="5"/>
      <c r="YM20" s="5"/>
      <c r="YN20" s="5"/>
      <c r="YO20" s="5"/>
      <c r="YP20" s="5"/>
      <c r="YQ20" s="5"/>
      <c r="YR20" s="5"/>
      <c r="YS20" s="5"/>
      <c r="YT20" s="5"/>
      <c r="YU20" s="5"/>
      <c r="YV20" s="5"/>
      <c r="YW20" s="5"/>
      <c r="YX20" s="5"/>
      <c r="YY20" s="5"/>
      <c r="YZ20" s="5"/>
      <c r="ZA20" s="5"/>
      <c r="ZB20" s="5"/>
      <c r="ZC20" s="5"/>
      <c r="ZD20" s="5"/>
      <c r="ZE20" s="5"/>
      <c r="ZF20" s="5"/>
      <c r="ZG20" s="5"/>
      <c r="ZH20" s="5"/>
      <c r="ZI20" s="5"/>
      <c r="ZJ20" s="5"/>
      <c r="ZK20" s="5"/>
      <c r="ZL20" s="5"/>
      <c r="ZM20" s="5"/>
      <c r="ZN20" s="5"/>
      <c r="ZO20" s="5"/>
      <c r="ZP20" s="5"/>
      <c r="ZQ20" s="5"/>
      <c r="ZR20" s="5"/>
      <c r="ZS20" s="5"/>
      <c r="ZT20" s="5"/>
      <c r="ZU20" s="5"/>
      <c r="ZV20" s="5"/>
      <c r="ZW20" s="5"/>
      <c r="ZX20" s="5"/>
      <c r="ZY20" s="5"/>
      <c r="ZZ20" s="5"/>
      <c r="AAA20" s="5"/>
      <c r="AAB20" s="5"/>
      <c r="AAC20" s="5"/>
      <c r="AAD20" s="5"/>
      <c r="AAE20" s="5"/>
      <c r="AAF20" s="5"/>
      <c r="AAG20" s="5"/>
      <c r="AAH20" s="5"/>
      <c r="AAI20" s="5"/>
      <c r="AAJ20" s="5"/>
      <c r="AAK20" s="5"/>
      <c r="AAL20" s="5"/>
      <c r="AAM20" s="5"/>
      <c r="AAN20" s="5"/>
      <c r="AAO20" s="5"/>
      <c r="AAP20" s="5"/>
      <c r="AAQ20" s="5"/>
      <c r="AAR20" s="5"/>
      <c r="AAS20" s="5"/>
      <c r="AAT20" s="5"/>
      <c r="AAU20" s="5"/>
      <c r="AAV20" s="5"/>
      <c r="AAW20" s="5"/>
      <c r="AAX20" s="5"/>
      <c r="AAY20" s="5"/>
      <c r="AAZ20" s="5"/>
      <c r="ABA20" s="5"/>
      <c r="ABB20" s="5"/>
      <c r="ABC20" s="5"/>
      <c r="ABD20" s="5"/>
      <c r="ABE20" s="5"/>
      <c r="ABF20" s="5"/>
      <c r="ABG20" s="5"/>
      <c r="ABH20" s="5"/>
      <c r="ABI20" s="5"/>
      <c r="ABJ20" s="5"/>
      <c r="ABK20" s="5"/>
      <c r="ABL20" s="5"/>
      <c r="ABM20" s="5"/>
      <c r="ABN20" s="5"/>
      <c r="ABO20" s="5"/>
      <c r="ABP20" s="5"/>
      <c r="ABQ20" s="5"/>
      <c r="ABR20" s="5"/>
      <c r="ABS20" s="5"/>
      <c r="ABT20" s="5"/>
      <c r="ABU20" s="5"/>
      <c r="ABV20" s="5"/>
      <c r="ABW20" s="5"/>
      <c r="ABX20" s="5"/>
      <c r="ABY20" s="5"/>
      <c r="ABZ20" s="5"/>
      <c r="ACA20" s="5"/>
      <c r="ACB20" s="5"/>
      <c r="ACC20" s="5"/>
      <c r="ACD20" s="5"/>
      <c r="ACE20" s="5"/>
      <c r="ACF20" s="5"/>
      <c r="ACG20" s="5"/>
      <c r="ACH20" s="5"/>
      <c r="ACI20" s="5"/>
      <c r="ACJ20" s="5"/>
      <c r="ACK20" s="5"/>
      <c r="ACL20" s="5"/>
      <c r="ACM20" s="5"/>
      <c r="ACN20" s="5"/>
      <c r="ACO20" s="5"/>
      <c r="ACP20" s="5"/>
      <c r="ACQ20" s="5"/>
      <c r="ACR20" s="5"/>
      <c r="ACS20" s="5"/>
      <c r="ACT20" s="5"/>
      <c r="ACU20" s="5"/>
      <c r="ACV20" s="5"/>
      <c r="ACW20" s="5"/>
      <c r="ACX20" s="5"/>
      <c r="ACY20" s="5"/>
      <c r="ACZ20" s="5"/>
      <c r="ADA20" s="5"/>
      <c r="ADB20" s="5"/>
      <c r="ADC20" s="5"/>
      <c r="ADD20" s="5"/>
      <c r="ADE20" s="5"/>
      <c r="ADF20" s="5"/>
      <c r="ADG20" s="5"/>
      <c r="ADH20" s="5"/>
      <c r="ADI20" s="5"/>
      <c r="ADJ20" s="5"/>
      <c r="ADK20" s="5"/>
      <c r="ADL20" s="5"/>
      <c r="ADM20" s="5"/>
      <c r="ADN20" s="5"/>
      <c r="ADO20" s="5"/>
      <c r="ADP20" s="5"/>
      <c r="ADQ20" s="5"/>
      <c r="ADR20" s="5"/>
      <c r="ADS20" s="5"/>
      <c r="ADT20" s="5"/>
      <c r="ADU20" s="5"/>
      <c r="ADV20" s="5"/>
      <c r="ADW20" s="5"/>
      <c r="ADX20" s="5"/>
      <c r="ADY20" s="5"/>
      <c r="ADZ20" s="5"/>
      <c r="AEA20" s="5"/>
      <c r="AEB20" s="5"/>
      <c r="AEC20" s="5"/>
      <c r="AED20" s="5"/>
      <c r="AEE20" s="5"/>
      <c r="AEF20" s="5"/>
      <c r="AEG20" s="5"/>
      <c r="AEH20" s="5"/>
      <c r="AEI20" s="5"/>
      <c r="AEJ20" s="5"/>
      <c r="AEK20" s="5"/>
      <c r="AEL20" s="5"/>
      <c r="AEM20" s="5"/>
      <c r="AEN20" s="5"/>
      <c r="AEO20" s="5"/>
      <c r="AEP20" s="5"/>
      <c r="AEQ20" s="5"/>
      <c r="AER20" s="5"/>
      <c r="AES20" s="5"/>
      <c r="AET20" s="5"/>
      <c r="AEU20" s="5"/>
      <c r="AEV20" s="5"/>
      <c r="AEW20" s="5"/>
      <c r="AEX20" s="5"/>
      <c r="AEY20" s="5"/>
      <c r="AEZ20" s="5"/>
      <c r="AFA20" s="5"/>
      <c r="AFB20" s="5"/>
      <c r="AFC20" s="5"/>
      <c r="AFD20" s="5"/>
      <c r="AFE20" s="5"/>
      <c r="AFF20" s="5"/>
      <c r="AFG20" s="5"/>
      <c r="AFH20" s="5"/>
      <c r="AFI20" s="5"/>
      <c r="AFJ20" s="5"/>
      <c r="AFK20" s="5"/>
      <c r="AFL20" s="5"/>
      <c r="AFM20" s="5"/>
      <c r="AFN20" s="5"/>
      <c r="AFO20" s="5"/>
      <c r="AFP20" s="5"/>
      <c r="AFQ20" s="5"/>
      <c r="AFR20" s="5"/>
      <c r="AFS20" s="5"/>
      <c r="AFT20" s="5"/>
      <c r="AFU20" s="5"/>
      <c r="AFV20" s="5"/>
      <c r="AFW20" s="5"/>
      <c r="AFX20" s="5"/>
      <c r="AFY20" s="5"/>
      <c r="AFZ20" s="5"/>
      <c r="AGA20" s="5"/>
      <c r="AGB20" s="5"/>
      <c r="AGC20" s="5"/>
      <c r="AGD20" s="5"/>
      <c r="AGE20" s="5"/>
      <c r="AGF20" s="5"/>
      <c r="AGG20" s="5"/>
      <c r="AGH20" s="5"/>
      <c r="AGI20" s="5"/>
      <c r="AGJ20" s="5"/>
      <c r="AGK20" s="5"/>
      <c r="AGL20" s="5"/>
      <c r="AGM20" s="5"/>
      <c r="AGN20" s="5"/>
      <c r="AGO20" s="5"/>
      <c r="AGP20" s="5"/>
      <c r="AGQ20" s="5"/>
      <c r="AGR20" s="5"/>
      <c r="AGS20" s="5"/>
      <c r="AGT20" s="5"/>
      <c r="AGU20" s="5"/>
      <c r="AGV20" s="5"/>
      <c r="AGW20" s="5"/>
      <c r="AGX20" s="5"/>
      <c r="AGY20" s="5"/>
      <c r="AGZ20" s="5"/>
      <c r="AHA20" s="5"/>
      <c r="AHB20" s="5"/>
      <c r="AHC20" s="5"/>
      <c r="AHD20" s="5"/>
      <c r="AHE20" s="5"/>
      <c r="AHF20" s="5"/>
      <c r="AHG20" s="5"/>
      <c r="AHH20" s="5"/>
      <c r="AHI20" s="5"/>
      <c r="AHJ20" s="5"/>
      <c r="AHK20" s="5"/>
      <c r="AHL20" s="5"/>
      <c r="AHM20" s="5"/>
      <c r="AHN20" s="5"/>
      <c r="AHO20" s="5"/>
      <c r="AHP20" s="5"/>
      <c r="AHQ20" s="5"/>
      <c r="AHR20" s="5"/>
      <c r="AHS20" s="5"/>
      <c r="AHT20" s="5"/>
      <c r="AHU20" s="5"/>
      <c r="AHV20" s="5"/>
      <c r="AHW20" s="5"/>
      <c r="AHX20" s="5"/>
      <c r="AHY20" s="5"/>
      <c r="AHZ20" s="5"/>
      <c r="AIA20" s="5"/>
      <c r="AIB20" s="5"/>
      <c r="AIC20" s="5"/>
      <c r="AID20" s="5"/>
      <c r="AIE20" s="5"/>
      <c r="AIF20" s="5"/>
      <c r="AIG20" s="5"/>
      <c r="AIH20" s="5"/>
      <c r="AII20" s="5"/>
      <c r="AIJ20" s="5"/>
      <c r="AIK20" s="5"/>
      <c r="AIL20" s="5"/>
      <c r="AIM20" s="5"/>
      <c r="AIN20" s="5"/>
      <c r="AIO20" s="5"/>
      <c r="AIP20" s="5"/>
      <c r="AIQ20" s="5"/>
      <c r="AIR20" s="5"/>
      <c r="AIS20" s="5"/>
      <c r="AIT20" s="5"/>
      <c r="AIU20" s="5"/>
      <c r="AIV20" s="5"/>
      <c r="AIW20" s="5"/>
      <c r="AIX20" s="5"/>
      <c r="AIY20" s="5"/>
      <c r="AIZ20" s="5"/>
      <c r="AJA20" s="5"/>
      <c r="AJB20" s="5"/>
      <c r="AJC20" s="5"/>
      <c r="AJD20" s="5"/>
      <c r="AJE20" s="5"/>
      <c r="AJF20" s="5"/>
      <c r="AJG20" s="5"/>
      <c r="AJH20" s="5"/>
      <c r="AJI20" s="5"/>
      <c r="AJJ20" s="5"/>
      <c r="AJK20" s="5"/>
      <c r="AJL20" s="5"/>
      <c r="AJM20" s="5"/>
      <c r="AJN20" s="5"/>
      <c r="AJO20" s="5"/>
      <c r="AJP20" s="5"/>
      <c r="AJQ20" s="5"/>
      <c r="AJR20" s="5"/>
      <c r="AJS20" s="5"/>
      <c r="AJT20" s="5"/>
      <c r="AJU20" s="5"/>
      <c r="AJV20" s="5"/>
      <c r="AJW20" s="5"/>
      <c r="AJX20" s="5"/>
      <c r="AJY20" s="5"/>
      <c r="AJZ20" s="5"/>
      <c r="AKA20" s="5"/>
      <c r="AKB20" s="5"/>
      <c r="AKC20" s="5"/>
      <c r="AKD20" s="5"/>
      <c r="AKE20" s="5"/>
      <c r="AKF20" s="5"/>
      <c r="AKG20" s="5"/>
      <c r="AKH20" s="5"/>
      <c r="AKI20" s="5"/>
      <c r="AKJ20" s="5"/>
      <c r="AKK20" s="5"/>
      <c r="AKL20" s="5"/>
      <c r="AKM20" s="5"/>
      <c r="AKN20" s="5"/>
      <c r="AKO20" s="5"/>
      <c r="AKP20" s="5"/>
      <c r="AKQ20" s="5"/>
      <c r="AKR20" s="5"/>
      <c r="AKS20" s="5"/>
      <c r="AKT20" s="5"/>
      <c r="AKU20" s="5"/>
      <c r="AKV20" s="5"/>
      <c r="AKW20" s="5"/>
      <c r="AKX20" s="5"/>
      <c r="AKY20" s="5"/>
      <c r="AKZ20" s="5"/>
      <c r="ALA20" s="5"/>
      <c r="ALB20" s="5"/>
      <c r="ALC20" s="5"/>
      <c r="ALD20" s="5"/>
      <c r="ALE20" s="5"/>
      <c r="ALF20" s="5"/>
      <c r="ALG20" s="5"/>
      <c r="ALH20" s="5"/>
      <c r="ALI20" s="5"/>
      <c r="ALJ20" s="5"/>
      <c r="ALK20" s="5"/>
      <c r="ALL20" s="5"/>
      <c r="ALM20" s="5"/>
      <c r="ALN20" s="5"/>
      <c r="ALO20" s="5"/>
      <c r="ALP20" s="5"/>
      <c r="ALQ20" s="5"/>
      <c r="ALR20" s="5"/>
      <c r="ALS20" s="5"/>
      <c r="ALT20" s="5"/>
      <c r="ALU20" s="5"/>
      <c r="ALV20" s="5"/>
      <c r="ALW20" s="5"/>
      <c r="ALX20" s="5"/>
      <c r="ALY20" s="5"/>
      <c r="ALZ20" s="5"/>
      <c r="AMA20" s="5"/>
      <c r="AMB20" s="5"/>
      <c r="AMC20" s="5"/>
      <c r="AMD20" s="5"/>
      <c r="AME20" s="5"/>
      <c r="AMF20" s="5"/>
    </row>
    <row r="21" spans="1:1020" s="8" customFormat="1" x14ac:dyDescent="0.2">
      <c r="A21" s="11" t="s">
        <v>93</v>
      </c>
      <c r="B21" s="11" t="s">
        <v>73</v>
      </c>
      <c r="C21" s="11" t="s">
        <v>25</v>
      </c>
      <c r="D21" s="11" t="s">
        <v>27</v>
      </c>
      <c r="E21" s="5">
        <v>4</v>
      </c>
      <c r="F21" s="11" t="s">
        <v>30</v>
      </c>
      <c r="G21" s="11" t="s">
        <v>96</v>
      </c>
      <c r="H21" s="11" t="s">
        <v>96</v>
      </c>
      <c r="I21" s="5" t="s">
        <v>94</v>
      </c>
      <c r="J21" s="5" t="s">
        <v>95</v>
      </c>
      <c r="K21" s="11">
        <v>2</v>
      </c>
      <c r="L21" s="11" t="s">
        <v>91</v>
      </c>
      <c r="M21" s="5"/>
      <c r="N21" s="5"/>
      <c r="O21" s="5" t="str">
        <f>"Opn4_bulkRNAseq/"&amp;A21&amp;"/outputs/40hisat2_mm38_100/mm38_100_genome-paired_gene_sreverse_gene_ID.count.xz"</f>
        <v>Opn4_bulkRNAseq/S1_Het_dLGN_S2/outputs/40hisat2_mm38_100/mm38_100_genome-paired_gene_sreverse_gene_ID.count.xz</v>
      </c>
      <c r="P21" s="1" t="str">
        <f>"Opn4_bulkRNAseq/"&amp;A21&amp;"/outputs/45salmon_mm38_100/quant.sf"</f>
        <v>Opn4_bulkRNAseq/S1_Het_dLGN_S2/outputs/45salmon_mm38_100/quant.sf</v>
      </c>
      <c r="Q21" s="5">
        <v>24109234</v>
      </c>
      <c r="R21" s="5">
        <v>22460019</v>
      </c>
      <c r="S21" s="6">
        <f>R21/Q21</f>
        <v>0.93159405230377701</v>
      </c>
      <c r="T21" s="5">
        <v>668466</v>
      </c>
      <c r="U21" s="5">
        <v>493811</v>
      </c>
      <c r="V21" s="5">
        <v>486938</v>
      </c>
      <c r="W21" s="5">
        <v>19851385</v>
      </c>
      <c r="X21" s="5">
        <v>1982868</v>
      </c>
      <c r="Y21" s="7">
        <f t="shared" si="3"/>
        <v>0.97213867005188193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  <c r="KK21" s="5"/>
      <c r="KL21" s="5"/>
      <c r="KM21" s="5"/>
      <c r="KN21" s="5"/>
      <c r="KO21" s="5"/>
      <c r="KP21" s="5"/>
      <c r="KQ21" s="5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  <c r="LZ21" s="5"/>
      <c r="MA21" s="5"/>
      <c r="MB21" s="5"/>
      <c r="MC21" s="5"/>
      <c r="MD21" s="5"/>
      <c r="ME21" s="5"/>
      <c r="MF21" s="5"/>
      <c r="MG21" s="5"/>
      <c r="MH21" s="5"/>
      <c r="MI21" s="5"/>
      <c r="MJ21" s="5"/>
      <c r="MK21" s="5"/>
      <c r="ML21" s="5"/>
      <c r="MM21" s="5"/>
      <c r="MN21" s="5"/>
      <c r="MO21" s="5"/>
      <c r="MP21" s="5"/>
      <c r="MQ21" s="5"/>
      <c r="MR21" s="5"/>
      <c r="MS21" s="5"/>
      <c r="MT21" s="5"/>
      <c r="MU21" s="5"/>
      <c r="MV21" s="5"/>
      <c r="MW21" s="5"/>
      <c r="MX21" s="5"/>
      <c r="MY21" s="5"/>
      <c r="MZ21" s="5"/>
      <c r="NA21" s="5"/>
      <c r="NB21" s="5"/>
      <c r="NC21" s="5"/>
      <c r="ND21" s="5"/>
      <c r="NE21" s="5"/>
      <c r="NF21" s="5"/>
      <c r="NG21" s="5"/>
      <c r="NH21" s="5"/>
      <c r="NI21" s="5"/>
      <c r="NJ21" s="5"/>
      <c r="NK21" s="5"/>
      <c r="NL21" s="5"/>
      <c r="NM21" s="5"/>
      <c r="NN21" s="5"/>
      <c r="NO21" s="5"/>
      <c r="NP21" s="5"/>
      <c r="NQ21" s="5"/>
      <c r="NR21" s="5"/>
      <c r="NS21" s="5"/>
      <c r="NT21" s="5"/>
      <c r="NU21" s="5"/>
      <c r="NV21" s="5"/>
      <c r="NW21" s="5"/>
      <c r="NX21" s="5"/>
      <c r="NY21" s="5"/>
      <c r="NZ21" s="5"/>
      <c r="OA21" s="5"/>
      <c r="OB21" s="5"/>
      <c r="OC21" s="5"/>
      <c r="OD21" s="5"/>
      <c r="OE21" s="5"/>
      <c r="OF21" s="5"/>
      <c r="OG21" s="5"/>
      <c r="OH21" s="5"/>
      <c r="OI21" s="5"/>
      <c r="OJ21" s="5"/>
      <c r="OK21" s="5"/>
      <c r="OL21" s="5"/>
      <c r="OM21" s="5"/>
      <c r="ON21" s="5"/>
      <c r="OO21" s="5"/>
      <c r="OP21" s="5"/>
      <c r="OQ21" s="5"/>
      <c r="OR21" s="5"/>
      <c r="OS21" s="5"/>
      <c r="OT21" s="5"/>
      <c r="OU21" s="5"/>
      <c r="OV21" s="5"/>
      <c r="OW21" s="5"/>
      <c r="OX21" s="5"/>
      <c r="OY21" s="5"/>
      <c r="OZ21" s="5"/>
      <c r="PA21" s="5"/>
      <c r="PB21" s="5"/>
      <c r="PC21" s="5"/>
      <c r="PD21" s="5"/>
      <c r="PE21" s="5"/>
      <c r="PF21" s="5"/>
      <c r="PG21" s="5"/>
      <c r="PH21" s="5"/>
      <c r="PI21" s="5"/>
      <c r="PJ21" s="5"/>
      <c r="PK21" s="5"/>
      <c r="PL21" s="5"/>
      <c r="PM21" s="5"/>
      <c r="PN21" s="5"/>
      <c r="PO21" s="5"/>
      <c r="PP21" s="5"/>
      <c r="PQ21" s="5"/>
      <c r="PR21" s="5"/>
      <c r="PS21" s="5"/>
      <c r="PT21" s="5"/>
      <c r="PU21" s="5"/>
      <c r="PV21" s="5"/>
      <c r="PW21" s="5"/>
      <c r="PX21" s="5"/>
      <c r="PY21" s="5"/>
      <c r="PZ21" s="5"/>
      <c r="QA21" s="5"/>
      <c r="QB21" s="5"/>
      <c r="QC21" s="5"/>
      <c r="QD21" s="5"/>
      <c r="QE21" s="5"/>
      <c r="QF21" s="5"/>
      <c r="QG21" s="5"/>
      <c r="QH21" s="5"/>
      <c r="QI21" s="5"/>
      <c r="QJ21" s="5"/>
      <c r="QK21" s="5"/>
      <c r="QL21" s="5"/>
      <c r="QM21" s="5"/>
      <c r="QN21" s="5"/>
      <c r="QO21" s="5"/>
      <c r="QP21" s="5"/>
      <c r="QQ21" s="5"/>
      <c r="QR21" s="5"/>
      <c r="QS21" s="5"/>
      <c r="QT21" s="5"/>
      <c r="QU21" s="5"/>
      <c r="QV21" s="5"/>
      <c r="QW21" s="5"/>
      <c r="QX21" s="5"/>
      <c r="QY21" s="5"/>
      <c r="QZ21" s="5"/>
      <c r="RA21" s="5"/>
      <c r="RB21" s="5"/>
      <c r="RC21" s="5"/>
      <c r="RD21" s="5"/>
      <c r="RE21" s="5"/>
      <c r="RF21" s="5"/>
      <c r="RG21" s="5"/>
      <c r="RH21" s="5"/>
      <c r="RI21" s="5"/>
      <c r="RJ21" s="5"/>
      <c r="RK21" s="5"/>
      <c r="RL21" s="5"/>
      <c r="RM21" s="5"/>
      <c r="RN21" s="5"/>
      <c r="RO21" s="5"/>
      <c r="RP21" s="5"/>
      <c r="RQ21" s="5"/>
      <c r="RR21" s="5"/>
      <c r="RS21" s="5"/>
      <c r="RT21" s="5"/>
      <c r="RU21" s="5"/>
      <c r="RV21" s="5"/>
      <c r="RW21" s="5"/>
      <c r="RX21" s="5"/>
      <c r="RY21" s="5"/>
      <c r="RZ21" s="5"/>
      <c r="SA21" s="5"/>
      <c r="SB21" s="5"/>
      <c r="SC21" s="5"/>
      <c r="SD21" s="5"/>
      <c r="SE21" s="5"/>
      <c r="SF21" s="5"/>
      <c r="SG21" s="5"/>
      <c r="SH21" s="5"/>
      <c r="SI21" s="5"/>
      <c r="SJ21" s="5"/>
      <c r="SK21" s="5"/>
      <c r="SL21" s="5"/>
      <c r="SM21" s="5"/>
      <c r="SN21" s="5"/>
      <c r="SO21" s="5"/>
      <c r="SP21" s="5"/>
      <c r="SQ21" s="5"/>
      <c r="SR21" s="5"/>
      <c r="SS21" s="5"/>
      <c r="ST21" s="5"/>
      <c r="SU21" s="5"/>
      <c r="SV21" s="5"/>
      <c r="SW21" s="5"/>
      <c r="SX21" s="5"/>
      <c r="SY21" s="5"/>
      <c r="SZ21" s="5"/>
      <c r="TA21" s="5"/>
      <c r="TB21" s="5"/>
      <c r="TC21" s="5"/>
      <c r="TD21" s="5"/>
      <c r="TE21" s="5"/>
      <c r="TF21" s="5"/>
      <c r="TG21" s="5"/>
      <c r="TH21" s="5"/>
      <c r="TI21" s="5"/>
      <c r="TJ21" s="5"/>
      <c r="TK21" s="5"/>
      <c r="TL21" s="5"/>
      <c r="TM21" s="5"/>
      <c r="TN21" s="5"/>
      <c r="TO21" s="5"/>
      <c r="TP21" s="5"/>
      <c r="TQ21" s="5"/>
      <c r="TR21" s="5"/>
      <c r="TS21" s="5"/>
      <c r="TT21" s="5"/>
      <c r="TU21" s="5"/>
      <c r="TV21" s="5"/>
      <c r="TW21" s="5"/>
      <c r="TX21" s="5"/>
      <c r="TY21" s="5"/>
      <c r="TZ21" s="5"/>
      <c r="UA21" s="5"/>
      <c r="UB21" s="5"/>
      <c r="UC21" s="5"/>
      <c r="UD21" s="5"/>
      <c r="UE21" s="5"/>
      <c r="UF21" s="5"/>
      <c r="UG21" s="5"/>
      <c r="UH21" s="5"/>
      <c r="UI21" s="5"/>
      <c r="UJ21" s="5"/>
      <c r="UK21" s="5"/>
      <c r="UL21" s="5"/>
      <c r="UM21" s="5"/>
      <c r="UN21" s="5"/>
      <c r="UO21" s="5"/>
      <c r="UP21" s="5"/>
      <c r="UQ21" s="5"/>
      <c r="UR21" s="5"/>
      <c r="US21" s="5"/>
      <c r="UT21" s="5"/>
      <c r="UU21" s="5"/>
      <c r="UV21" s="5"/>
      <c r="UW21" s="5"/>
      <c r="UX21" s="5"/>
      <c r="UY21" s="5"/>
      <c r="UZ21" s="5"/>
      <c r="VA21" s="5"/>
      <c r="VB21" s="5"/>
      <c r="VC21" s="5"/>
      <c r="VD21" s="5"/>
      <c r="VE21" s="5"/>
      <c r="VF21" s="5"/>
      <c r="VG21" s="5"/>
      <c r="VH21" s="5"/>
      <c r="VI21" s="5"/>
      <c r="VJ21" s="5"/>
      <c r="VK21" s="5"/>
      <c r="VL21" s="5"/>
      <c r="VM21" s="5"/>
      <c r="VN21" s="5"/>
      <c r="VO21" s="5"/>
      <c r="VP21" s="5"/>
      <c r="VQ21" s="5"/>
      <c r="VR21" s="5"/>
      <c r="VS21" s="5"/>
      <c r="VT21" s="5"/>
      <c r="VU21" s="5"/>
      <c r="VV21" s="5"/>
      <c r="VW21" s="5"/>
      <c r="VX21" s="5"/>
      <c r="VY21" s="5"/>
      <c r="VZ21" s="5"/>
      <c r="WA21" s="5"/>
      <c r="WB21" s="5"/>
      <c r="WC21" s="5"/>
      <c r="WD21" s="5"/>
      <c r="WE21" s="5"/>
      <c r="WF21" s="5"/>
      <c r="WG21" s="5"/>
      <c r="WH21" s="5"/>
      <c r="WI21" s="5"/>
      <c r="WJ21" s="5"/>
      <c r="WK21" s="5"/>
      <c r="WL21" s="5"/>
      <c r="WM21" s="5"/>
      <c r="WN21" s="5"/>
      <c r="WO21" s="5"/>
      <c r="WP21" s="5"/>
      <c r="WQ21" s="5"/>
      <c r="WR21" s="5"/>
      <c r="WS21" s="5"/>
      <c r="WT21" s="5"/>
      <c r="WU21" s="5"/>
      <c r="WV21" s="5"/>
      <c r="WW21" s="5"/>
      <c r="WX21" s="5"/>
      <c r="WY21" s="5"/>
      <c r="WZ21" s="5"/>
      <c r="XA21" s="5"/>
      <c r="XB21" s="5"/>
      <c r="XC21" s="5"/>
      <c r="XD21" s="5"/>
      <c r="XE21" s="5"/>
      <c r="XF21" s="5"/>
      <c r="XG21" s="5"/>
      <c r="XH21" s="5"/>
      <c r="XI21" s="5"/>
      <c r="XJ21" s="5"/>
      <c r="XK21" s="5"/>
      <c r="XL21" s="5"/>
      <c r="XM21" s="5"/>
      <c r="XN21" s="5"/>
      <c r="XO21" s="5"/>
      <c r="XP21" s="5"/>
      <c r="XQ21" s="5"/>
      <c r="XR21" s="5"/>
      <c r="XS21" s="5"/>
      <c r="XT21" s="5"/>
      <c r="XU21" s="5"/>
      <c r="XV21" s="5"/>
      <c r="XW21" s="5"/>
      <c r="XX21" s="5"/>
      <c r="XY21" s="5"/>
      <c r="XZ21" s="5"/>
      <c r="YA21" s="5"/>
      <c r="YB21" s="5"/>
      <c r="YC21" s="5"/>
      <c r="YD21" s="5"/>
      <c r="YE21" s="5"/>
      <c r="YF21" s="5"/>
      <c r="YG21" s="5"/>
      <c r="YH21" s="5"/>
      <c r="YI21" s="5"/>
      <c r="YJ21" s="5"/>
      <c r="YK21" s="5"/>
      <c r="YL21" s="5"/>
      <c r="YM21" s="5"/>
      <c r="YN21" s="5"/>
      <c r="YO21" s="5"/>
      <c r="YP21" s="5"/>
      <c r="YQ21" s="5"/>
      <c r="YR21" s="5"/>
      <c r="YS21" s="5"/>
      <c r="YT21" s="5"/>
      <c r="YU21" s="5"/>
      <c r="YV21" s="5"/>
      <c r="YW21" s="5"/>
      <c r="YX21" s="5"/>
      <c r="YY21" s="5"/>
      <c r="YZ21" s="5"/>
      <c r="ZA21" s="5"/>
      <c r="ZB21" s="5"/>
      <c r="ZC21" s="5"/>
      <c r="ZD21" s="5"/>
      <c r="ZE21" s="5"/>
      <c r="ZF21" s="5"/>
      <c r="ZG21" s="5"/>
      <c r="ZH21" s="5"/>
      <c r="ZI21" s="5"/>
      <c r="ZJ21" s="5"/>
      <c r="ZK21" s="5"/>
      <c r="ZL21" s="5"/>
      <c r="ZM21" s="5"/>
      <c r="ZN21" s="5"/>
      <c r="ZO21" s="5"/>
      <c r="ZP21" s="5"/>
      <c r="ZQ21" s="5"/>
      <c r="ZR21" s="5"/>
      <c r="ZS21" s="5"/>
      <c r="ZT21" s="5"/>
      <c r="ZU21" s="5"/>
      <c r="ZV21" s="5"/>
      <c r="ZW21" s="5"/>
      <c r="ZX21" s="5"/>
      <c r="ZY21" s="5"/>
      <c r="ZZ21" s="5"/>
      <c r="AAA21" s="5"/>
      <c r="AAB21" s="5"/>
      <c r="AAC21" s="5"/>
      <c r="AAD21" s="5"/>
      <c r="AAE21" s="5"/>
      <c r="AAF21" s="5"/>
      <c r="AAG21" s="5"/>
      <c r="AAH21" s="5"/>
      <c r="AAI21" s="5"/>
      <c r="AAJ21" s="5"/>
      <c r="AAK21" s="5"/>
      <c r="AAL21" s="5"/>
      <c r="AAM21" s="5"/>
      <c r="AAN21" s="5"/>
      <c r="AAO21" s="5"/>
      <c r="AAP21" s="5"/>
      <c r="AAQ21" s="5"/>
      <c r="AAR21" s="5"/>
      <c r="AAS21" s="5"/>
      <c r="AAT21" s="5"/>
      <c r="AAU21" s="5"/>
      <c r="AAV21" s="5"/>
      <c r="AAW21" s="5"/>
      <c r="AAX21" s="5"/>
      <c r="AAY21" s="5"/>
      <c r="AAZ21" s="5"/>
      <c r="ABA21" s="5"/>
      <c r="ABB21" s="5"/>
      <c r="ABC21" s="5"/>
      <c r="ABD21" s="5"/>
      <c r="ABE21" s="5"/>
      <c r="ABF21" s="5"/>
      <c r="ABG21" s="5"/>
      <c r="ABH21" s="5"/>
      <c r="ABI21" s="5"/>
      <c r="ABJ21" s="5"/>
      <c r="ABK21" s="5"/>
      <c r="ABL21" s="5"/>
      <c r="ABM21" s="5"/>
      <c r="ABN21" s="5"/>
      <c r="ABO21" s="5"/>
      <c r="ABP21" s="5"/>
      <c r="ABQ21" s="5"/>
      <c r="ABR21" s="5"/>
      <c r="ABS21" s="5"/>
      <c r="ABT21" s="5"/>
      <c r="ABU21" s="5"/>
      <c r="ABV21" s="5"/>
      <c r="ABW21" s="5"/>
      <c r="ABX21" s="5"/>
      <c r="ABY21" s="5"/>
      <c r="ABZ21" s="5"/>
      <c r="ACA21" s="5"/>
      <c r="ACB21" s="5"/>
      <c r="ACC21" s="5"/>
      <c r="ACD21" s="5"/>
      <c r="ACE21" s="5"/>
      <c r="ACF21" s="5"/>
      <c r="ACG21" s="5"/>
      <c r="ACH21" s="5"/>
      <c r="ACI21" s="5"/>
      <c r="ACJ21" s="5"/>
      <c r="ACK21" s="5"/>
      <c r="ACL21" s="5"/>
      <c r="ACM21" s="5"/>
      <c r="ACN21" s="5"/>
      <c r="ACO21" s="5"/>
      <c r="ACP21" s="5"/>
      <c r="ACQ21" s="5"/>
      <c r="ACR21" s="5"/>
      <c r="ACS21" s="5"/>
      <c r="ACT21" s="5"/>
      <c r="ACU21" s="5"/>
      <c r="ACV21" s="5"/>
      <c r="ACW21" s="5"/>
      <c r="ACX21" s="5"/>
      <c r="ACY21" s="5"/>
      <c r="ACZ21" s="5"/>
      <c r="ADA21" s="5"/>
      <c r="ADB21" s="5"/>
      <c r="ADC21" s="5"/>
      <c r="ADD21" s="5"/>
      <c r="ADE21" s="5"/>
      <c r="ADF21" s="5"/>
      <c r="ADG21" s="5"/>
      <c r="ADH21" s="5"/>
      <c r="ADI21" s="5"/>
      <c r="ADJ21" s="5"/>
      <c r="ADK21" s="5"/>
      <c r="ADL21" s="5"/>
      <c r="ADM21" s="5"/>
      <c r="ADN21" s="5"/>
      <c r="ADO21" s="5"/>
      <c r="ADP21" s="5"/>
      <c r="ADQ21" s="5"/>
      <c r="ADR21" s="5"/>
      <c r="ADS21" s="5"/>
      <c r="ADT21" s="5"/>
      <c r="ADU21" s="5"/>
      <c r="ADV21" s="5"/>
      <c r="ADW21" s="5"/>
      <c r="ADX21" s="5"/>
      <c r="ADY21" s="5"/>
      <c r="ADZ21" s="5"/>
      <c r="AEA21" s="5"/>
      <c r="AEB21" s="5"/>
      <c r="AEC21" s="5"/>
      <c r="AED21" s="5"/>
      <c r="AEE21" s="5"/>
      <c r="AEF21" s="5"/>
      <c r="AEG21" s="5"/>
      <c r="AEH21" s="5"/>
      <c r="AEI21" s="5"/>
      <c r="AEJ21" s="5"/>
      <c r="AEK21" s="5"/>
      <c r="AEL21" s="5"/>
      <c r="AEM21" s="5"/>
      <c r="AEN21" s="5"/>
      <c r="AEO21" s="5"/>
      <c r="AEP21" s="5"/>
      <c r="AEQ21" s="5"/>
      <c r="AER21" s="5"/>
      <c r="AES21" s="5"/>
      <c r="AET21" s="5"/>
      <c r="AEU21" s="5"/>
      <c r="AEV21" s="5"/>
      <c r="AEW21" s="5"/>
      <c r="AEX21" s="5"/>
      <c r="AEY21" s="5"/>
      <c r="AEZ21" s="5"/>
      <c r="AFA21" s="5"/>
      <c r="AFB21" s="5"/>
      <c r="AFC21" s="5"/>
      <c r="AFD21" s="5"/>
      <c r="AFE21" s="5"/>
      <c r="AFF21" s="5"/>
      <c r="AFG21" s="5"/>
      <c r="AFH21" s="5"/>
      <c r="AFI21" s="5"/>
      <c r="AFJ21" s="5"/>
      <c r="AFK21" s="5"/>
      <c r="AFL21" s="5"/>
      <c r="AFM21" s="5"/>
      <c r="AFN21" s="5"/>
      <c r="AFO21" s="5"/>
      <c r="AFP21" s="5"/>
      <c r="AFQ21" s="5"/>
      <c r="AFR21" s="5"/>
      <c r="AFS21" s="5"/>
      <c r="AFT21" s="5"/>
      <c r="AFU21" s="5"/>
      <c r="AFV21" s="5"/>
      <c r="AFW21" s="5"/>
      <c r="AFX21" s="5"/>
      <c r="AFY21" s="5"/>
      <c r="AFZ21" s="5"/>
      <c r="AGA21" s="5"/>
      <c r="AGB21" s="5"/>
      <c r="AGC21" s="5"/>
      <c r="AGD21" s="5"/>
      <c r="AGE21" s="5"/>
      <c r="AGF21" s="5"/>
      <c r="AGG21" s="5"/>
      <c r="AGH21" s="5"/>
      <c r="AGI21" s="5"/>
      <c r="AGJ21" s="5"/>
      <c r="AGK21" s="5"/>
      <c r="AGL21" s="5"/>
      <c r="AGM21" s="5"/>
      <c r="AGN21" s="5"/>
      <c r="AGO21" s="5"/>
      <c r="AGP21" s="5"/>
      <c r="AGQ21" s="5"/>
      <c r="AGR21" s="5"/>
      <c r="AGS21" s="5"/>
      <c r="AGT21" s="5"/>
      <c r="AGU21" s="5"/>
      <c r="AGV21" s="5"/>
      <c r="AGW21" s="5"/>
      <c r="AGX21" s="5"/>
      <c r="AGY21" s="5"/>
      <c r="AGZ21" s="5"/>
      <c r="AHA21" s="5"/>
      <c r="AHB21" s="5"/>
      <c r="AHC21" s="5"/>
      <c r="AHD21" s="5"/>
      <c r="AHE21" s="5"/>
      <c r="AHF21" s="5"/>
      <c r="AHG21" s="5"/>
      <c r="AHH21" s="5"/>
      <c r="AHI21" s="5"/>
      <c r="AHJ21" s="5"/>
      <c r="AHK21" s="5"/>
      <c r="AHL21" s="5"/>
      <c r="AHM21" s="5"/>
      <c r="AHN21" s="5"/>
      <c r="AHO21" s="5"/>
      <c r="AHP21" s="5"/>
      <c r="AHQ21" s="5"/>
      <c r="AHR21" s="5"/>
      <c r="AHS21" s="5"/>
      <c r="AHT21" s="5"/>
      <c r="AHU21" s="5"/>
      <c r="AHV21" s="5"/>
      <c r="AHW21" s="5"/>
      <c r="AHX21" s="5"/>
      <c r="AHY21" s="5"/>
      <c r="AHZ21" s="5"/>
      <c r="AIA21" s="5"/>
      <c r="AIB21" s="5"/>
      <c r="AIC21" s="5"/>
      <c r="AID21" s="5"/>
      <c r="AIE21" s="5"/>
      <c r="AIF21" s="5"/>
      <c r="AIG21" s="5"/>
      <c r="AIH21" s="5"/>
      <c r="AII21" s="5"/>
      <c r="AIJ21" s="5"/>
      <c r="AIK21" s="5"/>
      <c r="AIL21" s="5"/>
      <c r="AIM21" s="5"/>
      <c r="AIN21" s="5"/>
      <c r="AIO21" s="5"/>
      <c r="AIP21" s="5"/>
      <c r="AIQ21" s="5"/>
      <c r="AIR21" s="5"/>
      <c r="AIS21" s="5"/>
      <c r="AIT21" s="5"/>
      <c r="AIU21" s="5"/>
      <c r="AIV21" s="5"/>
      <c r="AIW21" s="5"/>
      <c r="AIX21" s="5"/>
      <c r="AIY21" s="5"/>
      <c r="AIZ21" s="5"/>
      <c r="AJA21" s="5"/>
      <c r="AJB21" s="5"/>
      <c r="AJC21" s="5"/>
      <c r="AJD21" s="5"/>
      <c r="AJE21" s="5"/>
      <c r="AJF21" s="5"/>
      <c r="AJG21" s="5"/>
      <c r="AJH21" s="5"/>
      <c r="AJI21" s="5"/>
      <c r="AJJ21" s="5"/>
      <c r="AJK21" s="5"/>
      <c r="AJL21" s="5"/>
      <c r="AJM21" s="5"/>
      <c r="AJN21" s="5"/>
      <c r="AJO21" s="5"/>
      <c r="AJP21" s="5"/>
      <c r="AJQ21" s="5"/>
      <c r="AJR21" s="5"/>
      <c r="AJS21" s="5"/>
      <c r="AJT21" s="5"/>
      <c r="AJU21" s="5"/>
      <c r="AJV21" s="5"/>
      <c r="AJW21" s="5"/>
      <c r="AJX21" s="5"/>
      <c r="AJY21" s="5"/>
      <c r="AJZ21" s="5"/>
      <c r="AKA21" s="5"/>
      <c r="AKB21" s="5"/>
      <c r="AKC21" s="5"/>
      <c r="AKD21" s="5"/>
      <c r="AKE21" s="5"/>
      <c r="AKF21" s="5"/>
      <c r="AKG21" s="5"/>
      <c r="AKH21" s="5"/>
      <c r="AKI21" s="5"/>
      <c r="AKJ21" s="5"/>
      <c r="AKK21" s="5"/>
      <c r="AKL21" s="5"/>
      <c r="AKM21" s="5"/>
      <c r="AKN21" s="5"/>
      <c r="AKO21" s="5"/>
      <c r="AKP21" s="5"/>
      <c r="AKQ21" s="5"/>
      <c r="AKR21" s="5"/>
      <c r="AKS21" s="5"/>
      <c r="AKT21" s="5"/>
      <c r="AKU21" s="5"/>
      <c r="AKV21" s="5"/>
      <c r="AKW21" s="5"/>
      <c r="AKX21" s="5"/>
      <c r="AKY21" s="5"/>
      <c r="AKZ21" s="5"/>
      <c r="ALA21" s="5"/>
      <c r="ALB21" s="5"/>
      <c r="ALC21" s="5"/>
      <c r="ALD21" s="5"/>
      <c r="ALE21" s="5"/>
      <c r="ALF21" s="5"/>
      <c r="ALG21" s="5"/>
      <c r="ALH21" s="5"/>
      <c r="ALI21" s="5"/>
      <c r="ALJ21" s="5"/>
      <c r="ALK21" s="5"/>
      <c r="ALL21" s="5"/>
      <c r="ALM21" s="5"/>
      <c r="ALN21" s="5"/>
      <c r="ALO21" s="5"/>
      <c r="ALP21" s="5"/>
      <c r="ALQ21" s="5"/>
      <c r="ALR21" s="5"/>
      <c r="ALS21" s="5"/>
      <c r="ALT21" s="5"/>
      <c r="ALU21" s="5"/>
      <c r="ALV21" s="5"/>
      <c r="ALW21" s="5"/>
      <c r="ALX21" s="5"/>
      <c r="ALY21" s="5"/>
      <c r="ALZ21" s="5"/>
      <c r="AMA21" s="5"/>
      <c r="AMB21" s="5"/>
      <c r="AMC21" s="5"/>
      <c r="AMD21" s="5"/>
      <c r="AME21" s="5"/>
      <c r="AMF21" s="5"/>
    </row>
    <row r="22" spans="1:1020" s="8" customFormat="1" x14ac:dyDescent="0.2">
      <c r="A22" s="11" t="s">
        <v>97</v>
      </c>
      <c r="B22" s="11" t="s">
        <v>75</v>
      </c>
      <c r="C22" s="11" t="s">
        <v>25</v>
      </c>
      <c r="D22" s="11" t="s">
        <v>28</v>
      </c>
      <c r="E22" s="9">
        <v>4</v>
      </c>
      <c r="F22" s="11" t="s">
        <v>30</v>
      </c>
      <c r="G22" s="11" t="s">
        <v>100</v>
      </c>
      <c r="H22" s="11" t="s">
        <v>100</v>
      </c>
      <c r="I22" s="5" t="s">
        <v>98</v>
      </c>
      <c r="J22" s="5" t="s">
        <v>99</v>
      </c>
      <c r="K22" s="11">
        <v>2</v>
      </c>
      <c r="L22" s="11" t="s">
        <v>91</v>
      </c>
      <c r="M22" s="5"/>
      <c r="N22" s="5"/>
      <c r="O22" s="5" t="str">
        <f>"Opn4_bulkRNAseq/"&amp;A22&amp;"/outputs/40hisat2_mm38_100/mm38_100_genome-paired_gene_sreverse_gene_ID.count.xz"</f>
        <v>Opn4_bulkRNAseq/S1_Het_SCN_S3/outputs/40hisat2_mm38_100/mm38_100_genome-paired_gene_sreverse_gene_ID.count.xz</v>
      </c>
      <c r="P22" s="1" t="str">
        <f>"Opn4_bulkRNAseq/"&amp;A22&amp;"/outputs/45salmon_mm38_100/quant.sf"</f>
        <v>Opn4_bulkRNAseq/S1_Het_SCN_S3/outputs/45salmon_mm38_100/quant.sf</v>
      </c>
      <c r="Q22" s="5">
        <v>19107545</v>
      </c>
      <c r="R22" s="5">
        <v>17744063</v>
      </c>
      <c r="S22" s="6">
        <f t="shared" ref="S22:S30" si="4">R22/Q22</f>
        <v>0.92864169625140225</v>
      </c>
      <c r="T22" s="5">
        <v>531657</v>
      </c>
      <c r="U22" s="5">
        <v>390810</v>
      </c>
      <c r="V22" s="5">
        <v>441015</v>
      </c>
      <c r="W22" s="5"/>
      <c r="X22" s="5"/>
      <c r="Y22" s="7">
        <f t="shared" si="3"/>
        <v>0</v>
      </c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  <c r="SL22" s="5"/>
      <c r="SM22" s="5"/>
      <c r="SN22" s="5"/>
      <c r="SO22" s="5"/>
      <c r="SP22" s="5"/>
      <c r="SQ22" s="5"/>
      <c r="SR22" s="5"/>
      <c r="SS22" s="5"/>
      <c r="ST22" s="5"/>
      <c r="SU22" s="5"/>
      <c r="SV22" s="5"/>
      <c r="SW22" s="5"/>
      <c r="SX22" s="5"/>
      <c r="SY22" s="5"/>
      <c r="SZ22" s="5"/>
      <c r="TA22" s="5"/>
      <c r="TB22" s="5"/>
      <c r="TC22" s="5"/>
      <c r="TD22" s="5"/>
      <c r="TE22" s="5"/>
      <c r="TF22" s="5"/>
      <c r="TG22" s="5"/>
      <c r="TH22" s="5"/>
      <c r="TI22" s="5"/>
      <c r="TJ22" s="5"/>
      <c r="TK22" s="5"/>
      <c r="TL22" s="5"/>
      <c r="TM22" s="5"/>
      <c r="TN22" s="5"/>
      <c r="TO22" s="5"/>
      <c r="TP22" s="5"/>
      <c r="TQ22" s="5"/>
      <c r="TR22" s="5"/>
      <c r="TS22" s="5"/>
      <c r="TT22" s="5"/>
      <c r="TU22" s="5"/>
      <c r="TV22" s="5"/>
      <c r="TW22" s="5"/>
      <c r="TX22" s="5"/>
      <c r="TY22" s="5"/>
      <c r="TZ22" s="5"/>
      <c r="UA22" s="5"/>
      <c r="UB22" s="5"/>
      <c r="UC22" s="5"/>
      <c r="UD22" s="5"/>
      <c r="UE22" s="5"/>
      <c r="UF22" s="5"/>
      <c r="UG22" s="5"/>
      <c r="UH22" s="5"/>
      <c r="UI22" s="5"/>
      <c r="UJ22" s="5"/>
      <c r="UK22" s="5"/>
      <c r="UL22" s="5"/>
      <c r="UM22" s="5"/>
      <c r="UN22" s="5"/>
      <c r="UO22" s="5"/>
      <c r="UP22" s="5"/>
      <c r="UQ22" s="5"/>
      <c r="UR22" s="5"/>
      <c r="US22" s="5"/>
      <c r="UT22" s="5"/>
      <c r="UU22" s="5"/>
      <c r="UV22" s="5"/>
      <c r="UW22" s="5"/>
      <c r="UX22" s="5"/>
      <c r="UY22" s="5"/>
      <c r="UZ22" s="5"/>
      <c r="VA22" s="5"/>
      <c r="VB22" s="5"/>
      <c r="VC22" s="5"/>
      <c r="VD22" s="5"/>
      <c r="VE22" s="5"/>
      <c r="VF22" s="5"/>
      <c r="VG22" s="5"/>
      <c r="VH22" s="5"/>
      <c r="VI22" s="5"/>
      <c r="VJ22" s="5"/>
      <c r="VK22" s="5"/>
      <c r="VL22" s="5"/>
      <c r="VM22" s="5"/>
      <c r="VN22" s="5"/>
      <c r="VO22" s="5"/>
      <c r="VP22" s="5"/>
      <c r="VQ22" s="5"/>
      <c r="VR22" s="5"/>
      <c r="VS22" s="5"/>
      <c r="VT22" s="5"/>
      <c r="VU22" s="5"/>
      <c r="VV22" s="5"/>
      <c r="VW22" s="5"/>
      <c r="VX22" s="5"/>
      <c r="VY22" s="5"/>
      <c r="VZ22" s="5"/>
      <c r="WA22" s="5"/>
      <c r="WB22" s="5"/>
      <c r="WC22" s="5"/>
      <c r="WD22" s="5"/>
      <c r="WE22" s="5"/>
      <c r="WF22" s="5"/>
      <c r="WG22" s="5"/>
      <c r="WH22" s="5"/>
      <c r="WI22" s="5"/>
      <c r="WJ22" s="5"/>
      <c r="WK22" s="5"/>
      <c r="WL22" s="5"/>
      <c r="WM22" s="5"/>
      <c r="WN22" s="5"/>
      <c r="WO22" s="5"/>
      <c r="WP22" s="5"/>
      <c r="WQ22" s="5"/>
      <c r="WR22" s="5"/>
      <c r="WS22" s="5"/>
      <c r="WT22" s="5"/>
      <c r="WU22" s="5"/>
      <c r="WV22" s="5"/>
      <c r="WW22" s="5"/>
      <c r="WX22" s="5"/>
      <c r="WY22" s="5"/>
      <c r="WZ22" s="5"/>
      <c r="XA22" s="5"/>
      <c r="XB22" s="5"/>
      <c r="XC22" s="5"/>
      <c r="XD22" s="5"/>
      <c r="XE22" s="5"/>
      <c r="XF22" s="5"/>
      <c r="XG22" s="5"/>
      <c r="XH22" s="5"/>
      <c r="XI22" s="5"/>
      <c r="XJ22" s="5"/>
      <c r="XK22" s="5"/>
      <c r="XL22" s="5"/>
      <c r="XM22" s="5"/>
      <c r="XN22" s="5"/>
      <c r="XO22" s="5"/>
      <c r="XP22" s="5"/>
      <c r="XQ22" s="5"/>
      <c r="XR22" s="5"/>
      <c r="XS22" s="5"/>
      <c r="XT22" s="5"/>
      <c r="XU22" s="5"/>
      <c r="XV22" s="5"/>
      <c r="XW22" s="5"/>
      <c r="XX22" s="5"/>
      <c r="XY22" s="5"/>
      <c r="XZ22" s="5"/>
      <c r="YA22" s="5"/>
      <c r="YB22" s="5"/>
      <c r="YC22" s="5"/>
      <c r="YD22" s="5"/>
      <c r="YE22" s="5"/>
      <c r="YF22" s="5"/>
      <c r="YG22" s="5"/>
      <c r="YH22" s="5"/>
      <c r="YI22" s="5"/>
      <c r="YJ22" s="5"/>
      <c r="YK22" s="5"/>
      <c r="YL22" s="5"/>
      <c r="YM22" s="5"/>
      <c r="YN22" s="5"/>
      <c r="YO22" s="5"/>
      <c r="YP22" s="5"/>
      <c r="YQ22" s="5"/>
      <c r="YR22" s="5"/>
      <c r="YS22" s="5"/>
      <c r="YT22" s="5"/>
      <c r="YU22" s="5"/>
      <c r="YV22" s="5"/>
      <c r="YW22" s="5"/>
      <c r="YX22" s="5"/>
      <c r="YY22" s="5"/>
      <c r="YZ22" s="5"/>
      <c r="ZA22" s="5"/>
      <c r="ZB22" s="5"/>
      <c r="ZC22" s="5"/>
      <c r="ZD22" s="5"/>
      <c r="ZE22" s="5"/>
      <c r="ZF22" s="5"/>
      <c r="ZG22" s="5"/>
      <c r="ZH22" s="5"/>
      <c r="ZI22" s="5"/>
      <c r="ZJ22" s="5"/>
      <c r="ZK22" s="5"/>
      <c r="ZL22" s="5"/>
      <c r="ZM22" s="5"/>
      <c r="ZN22" s="5"/>
      <c r="ZO22" s="5"/>
      <c r="ZP22" s="5"/>
      <c r="ZQ22" s="5"/>
      <c r="ZR22" s="5"/>
      <c r="ZS22" s="5"/>
      <c r="ZT22" s="5"/>
      <c r="ZU22" s="5"/>
      <c r="ZV22" s="5"/>
      <c r="ZW22" s="5"/>
      <c r="ZX22" s="5"/>
      <c r="ZY22" s="5"/>
      <c r="ZZ22" s="5"/>
      <c r="AAA22" s="5"/>
      <c r="AAB22" s="5"/>
      <c r="AAC22" s="5"/>
      <c r="AAD22" s="5"/>
      <c r="AAE22" s="5"/>
      <c r="AAF22" s="5"/>
      <c r="AAG22" s="5"/>
      <c r="AAH22" s="5"/>
      <c r="AAI22" s="5"/>
      <c r="AAJ22" s="5"/>
      <c r="AAK22" s="5"/>
      <c r="AAL22" s="5"/>
      <c r="AAM22" s="5"/>
      <c r="AAN22" s="5"/>
      <c r="AAO22" s="5"/>
      <c r="AAP22" s="5"/>
      <c r="AAQ22" s="5"/>
      <c r="AAR22" s="5"/>
      <c r="AAS22" s="5"/>
      <c r="AAT22" s="5"/>
      <c r="AAU22" s="5"/>
      <c r="AAV22" s="5"/>
      <c r="AAW22" s="5"/>
      <c r="AAX22" s="5"/>
      <c r="AAY22" s="5"/>
      <c r="AAZ22" s="5"/>
      <c r="ABA22" s="5"/>
      <c r="ABB22" s="5"/>
      <c r="ABC22" s="5"/>
      <c r="ABD22" s="5"/>
      <c r="ABE22" s="5"/>
      <c r="ABF22" s="5"/>
      <c r="ABG22" s="5"/>
      <c r="ABH22" s="5"/>
      <c r="ABI22" s="5"/>
      <c r="ABJ22" s="5"/>
      <c r="ABK22" s="5"/>
      <c r="ABL22" s="5"/>
      <c r="ABM22" s="5"/>
      <c r="ABN22" s="5"/>
      <c r="ABO22" s="5"/>
      <c r="ABP22" s="5"/>
      <c r="ABQ22" s="5"/>
      <c r="ABR22" s="5"/>
      <c r="ABS22" s="5"/>
      <c r="ABT22" s="5"/>
      <c r="ABU22" s="5"/>
      <c r="ABV22" s="5"/>
      <c r="ABW22" s="5"/>
      <c r="ABX22" s="5"/>
      <c r="ABY22" s="5"/>
      <c r="ABZ22" s="5"/>
      <c r="ACA22" s="5"/>
      <c r="ACB22" s="5"/>
      <c r="ACC22" s="5"/>
      <c r="ACD22" s="5"/>
      <c r="ACE22" s="5"/>
      <c r="ACF22" s="5"/>
      <c r="ACG22" s="5"/>
      <c r="ACH22" s="5"/>
      <c r="ACI22" s="5"/>
      <c r="ACJ22" s="5"/>
      <c r="ACK22" s="5"/>
      <c r="ACL22" s="5"/>
      <c r="ACM22" s="5"/>
      <c r="ACN22" s="5"/>
      <c r="ACO22" s="5"/>
      <c r="ACP22" s="5"/>
      <c r="ACQ22" s="5"/>
      <c r="ACR22" s="5"/>
      <c r="ACS22" s="5"/>
      <c r="ACT22" s="5"/>
      <c r="ACU22" s="5"/>
      <c r="ACV22" s="5"/>
      <c r="ACW22" s="5"/>
      <c r="ACX22" s="5"/>
      <c r="ACY22" s="5"/>
      <c r="ACZ22" s="5"/>
      <c r="ADA22" s="5"/>
      <c r="ADB22" s="5"/>
      <c r="ADC22" s="5"/>
      <c r="ADD22" s="5"/>
      <c r="ADE22" s="5"/>
      <c r="ADF22" s="5"/>
      <c r="ADG22" s="5"/>
      <c r="ADH22" s="5"/>
      <c r="ADI22" s="5"/>
      <c r="ADJ22" s="5"/>
      <c r="ADK22" s="5"/>
      <c r="ADL22" s="5"/>
      <c r="ADM22" s="5"/>
      <c r="ADN22" s="5"/>
      <c r="ADO22" s="5"/>
      <c r="ADP22" s="5"/>
      <c r="ADQ22" s="5"/>
      <c r="ADR22" s="5"/>
      <c r="ADS22" s="5"/>
      <c r="ADT22" s="5"/>
      <c r="ADU22" s="5"/>
      <c r="ADV22" s="5"/>
      <c r="ADW22" s="5"/>
      <c r="ADX22" s="5"/>
      <c r="ADY22" s="5"/>
      <c r="ADZ22" s="5"/>
      <c r="AEA22" s="5"/>
      <c r="AEB22" s="5"/>
      <c r="AEC22" s="5"/>
      <c r="AED22" s="5"/>
      <c r="AEE22" s="5"/>
      <c r="AEF22" s="5"/>
      <c r="AEG22" s="5"/>
      <c r="AEH22" s="5"/>
      <c r="AEI22" s="5"/>
      <c r="AEJ22" s="5"/>
      <c r="AEK22" s="5"/>
      <c r="AEL22" s="5"/>
      <c r="AEM22" s="5"/>
      <c r="AEN22" s="5"/>
      <c r="AEO22" s="5"/>
      <c r="AEP22" s="5"/>
      <c r="AEQ22" s="5"/>
      <c r="AER22" s="5"/>
      <c r="AES22" s="5"/>
      <c r="AET22" s="5"/>
      <c r="AEU22" s="5"/>
      <c r="AEV22" s="5"/>
      <c r="AEW22" s="5"/>
      <c r="AEX22" s="5"/>
      <c r="AEY22" s="5"/>
      <c r="AEZ22" s="5"/>
      <c r="AFA22" s="5"/>
      <c r="AFB22" s="5"/>
      <c r="AFC22" s="5"/>
      <c r="AFD22" s="5"/>
      <c r="AFE22" s="5"/>
      <c r="AFF22" s="5"/>
      <c r="AFG22" s="5"/>
      <c r="AFH22" s="5"/>
      <c r="AFI22" s="5"/>
      <c r="AFJ22" s="5"/>
      <c r="AFK22" s="5"/>
      <c r="AFL22" s="5"/>
      <c r="AFM22" s="5"/>
      <c r="AFN22" s="5"/>
      <c r="AFO22" s="5"/>
      <c r="AFP22" s="5"/>
      <c r="AFQ22" s="5"/>
      <c r="AFR22" s="5"/>
      <c r="AFS22" s="5"/>
      <c r="AFT22" s="5"/>
      <c r="AFU22" s="5"/>
      <c r="AFV22" s="5"/>
      <c r="AFW22" s="5"/>
      <c r="AFX22" s="5"/>
      <c r="AFY22" s="5"/>
      <c r="AFZ22" s="5"/>
      <c r="AGA22" s="5"/>
      <c r="AGB22" s="5"/>
      <c r="AGC22" s="5"/>
      <c r="AGD22" s="5"/>
      <c r="AGE22" s="5"/>
      <c r="AGF22" s="5"/>
      <c r="AGG22" s="5"/>
      <c r="AGH22" s="5"/>
      <c r="AGI22" s="5"/>
      <c r="AGJ22" s="5"/>
      <c r="AGK22" s="5"/>
      <c r="AGL22" s="5"/>
      <c r="AGM22" s="5"/>
      <c r="AGN22" s="5"/>
      <c r="AGO22" s="5"/>
      <c r="AGP22" s="5"/>
      <c r="AGQ22" s="5"/>
      <c r="AGR22" s="5"/>
      <c r="AGS22" s="5"/>
      <c r="AGT22" s="5"/>
      <c r="AGU22" s="5"/>
      <c r="AGV22" s="5"/>
      <c r="AGW22" s="5"/>
      <c r="AGX22" s="5"/>
      <c r="AGY22" s="5"/>
      <c r="AGZ22" s="5"/>
      <c r="AHA22" s="5"/>
      <c r="AHB22" s="5"/>
      <c r="AHC22" s="5"/>
      <c r="AHD22" s="5"/>
      <c r="AHE22" s="5"/>
      <c r="AHF22" s="5"/>
      <c r="AHG22" s="5"/>
      <c r="AHH22" s="5"/>
      <c r="AHI22" s="5"/>
      <c r="AHJ22" s="5"/>
      <c r="AHK22" s="5"/>
      <c r="AHL22" s="5"/>
      <c r="AHM22" s="5"/>
      <c r="AHN22" s="5"/>
      <c r="AHO22" s="5"/>
      <c r="AHP22" s="5"/>
      <c r="AHQ22" s="5"/>
      <c r="AHR22" s="5"/>
      <c r="AHS22" s="5"/>
      <c r="AHT22" s="5"/>
      <c r="AHU22" s="5"/>
      <c r="AHV22" s="5"/>
      <c r="AHW22" s="5"/>
      <c r="AHX22" s="5"/>
      <c r="AHY22" s="5"/>
      <c r="AHZ22" s="5"/>
      <c r="AIA22" s="5"/>
      <c r="AIB22" s="5"/>
      <c r="AIC22" s="5"/>
      <c r="AID22" s="5"/>
      <c r="AIE22" s="5"/>
      <c r="AIF22" s="5"/>
      <c r="AIG22" s="5"/>
      <c r="AIH22" s="5"/>
      <c r="AII22" s="5"/>
      <c r="AIJ22" s="5"/>
      <c r="AIK22" s="5"/>
      <c r="AIL22" s="5"/>
      <c r="AIM22" s="5"/>
      <c r="AIN22" s="5"/>
      <c r="AIO22" s="5"/>
      <c r="AIP22" s="5"/>
      <c r="AIQ22" s="5"/>
      <c r="AIR22" s="5"/>
      <c r="AIS22" s="5"/>
      <c r="AIT22" s="5"/>
      <c r="AIU22" s="5"/>
      <c r="AIV22" s="5"/>
      <c r="AIW22" s="5"/>
      <c r="AIX22" s="5"/>
      <c r="AIY22" s="5"/>
      <c r="AIZ22" s="5"/>
      <c r="AJA22" s="5"/>
      <c r="AJB22" s="5"/>
      <c r="AJC22" s="5"/>
      <c r="AJD22" s="5"/>
      <c r="AJE22" s="5"/>
      <c r="AJF22" s="5"/>
      <c r="AJG22" s="5"/>
      <c r="AJH22" s="5"/>
      <c r="AJI22" s="5"/>
      <c r="AJJ22" s="5"/>
      <c r="AJK22" s="5"/>
      <c r="AJL22" s="5"/>
      <c r="AJM22" s="5"/>
      <c r="AJN22" s="5"/>
      <c r="AJO22" s="5"/>
      <c r="AJP22" s="5"/>
      <c r="AJQ22" s="5"/>
      <c r="AJR22" s="5"/>
      <c r="AJS22" s="5"/>
      <c r="AJT22" s="5"/>
      <c r="AJU22" s="5"/>
      <c r="AJV22" s="5"/>
      <c r="AJW22" s="5"/>
      <c r="AJX22" s="5"/>
      <c r="AJY22" s="5"/>
      <c r="AJZ22" s="5"/>
      <c r="AKA22" s="5"/>
      <c r="AKB22" s="5"/>
      <c r="AKC22" s="5"/>
      <c r="AKD22" s="5"/>
      <c r="AKE22" s="5"/>
      <c r="AKF22" s="5"/>
      <c r="AKG22" s="5"/>
      <c r="AKH22" s="5"/>
      <c r="AKI22" s="5"/>
      <c r="AKJ22" s="5"/>
      <c r="AKK22" s="5"/>
      <c r="AKL22" s="5"/>
      <c r="AKM22" s="5"/>
      <c r="AKN22" s="5"/>
      <c r="AKO22" s="5"/>
      <c r="AKP22" s="5"/>
      <c r="AKQ22" s="5"/>
      <c r="AKR22" s="5"/>
      <c r="AKS22" s="5"/>
      <c r="AKT22" s="5"/>
      <c r="AKU22" s="5"/>
      <c r="AKV22" s="5"/>
      <c r="AKW22" s="5"/>
      <c r="AKX22" s="5"/>
      <c r="AKY22" s="5"/>
      <c r="AKZ22" s="5"/>
      <c r="ALA22" s="5"/>
      <c r="ALB22" s="5"/>
      <c r="ALC22" s="5"/>
      <c r="ALD22" s="5"/>
      <c r="ALE22" s="5"/>
      <c r="ALF22" s="5"/>
      <c r="ALG22" s="5"/>
      <c r="ALH22" s="5"/>
      <c r="ALI22" s="5"/>
      <c r="ALJ22" s="5"/>
      <c r="ALK22" s="5"/>
      <c r="ALL22" s="5"/>
      <c r="ALM22" s="5"/>
      <c r="ALN22" s="5"/>
      <c r="ALO22" s="5"/>
      <c r="ALP22" s="5"/>
      <c r="ALQ22" s="5"/>
      <c r="ALR22" s="5"/>
      <c r="ALS22" s="5"/>
      <c r="ALT22" s="5"/>
      <c r="ALU22" s="5"/>
      <c r="ALV22" s="5"/>
      <c r="ALW22" s="5"/>
      <c r="ALX22" s="5"/>
      <c r="ALY22" s="5"/>
      <c r="ALZ22" s="5"/>
      <c r="AMA22" s="5"/>
      <c r="AMB22" s="5"/>
      <c r="AMC22" s="5"/>
      <c r="AMD22" s="5"/>
      <c r="AME22" s="5"/>
      <c r="AMF22" s="5"/>
    </row>
    <row r="23" spans="1:1020" s="8" customFormat="1" x14ac:dyDescent="0.2">
      <c r="A23" s="11" t="s">
        <v>101</v>
      </c>
      <c r="B23" s="11" t="s">
        <v>80</v>
      </c>
      <c r="C23" s="11" t="s">
        <v>25</v>
      </c>
      <c r="D23" s="11" t="s">
        <v>29</v>
      </c>
      <c r="E23" s="5">
        <v>5</v>
      </c>
      <c r="F23" s="11" t="s">
        <v>30</v>
      </c>
      <c r="G23" s="11" t="s">
        <v>92</v>
      </c>
      <c r="H23" s="11" t="s">
        <v>92</v>
      </c>
      <c r="I23" s="5" t="s">
        <v>102</v>
      </c>
      <c r="J23" s="5" t="s">
        <v>103</v>
      </c>
      <c r="K23" s="11">
        <v>2</v>
      </c>
      <c r="L23" s="11" t="s">
        <v>91</v>
      </c>
      <c r="M23" s="5"/>
      <c r="N23" s="5"/>
      <c r="O23" s="5" t="str">
        <f>"Opn4_bulkRNAseq/"&amp;A23&amp;"/outputs/40hisat2_mm38_100/mm38_100_genome-paired_gene_sreverse_gene_ID.count.xz"</f>
        <v>Opn4_bulkRNAseq/S2_Het_Ret_S4/outputs/40hisat2_mm38_100/mm38_100_genome-paired_gene_sreverse_gene_ID.count.xz</v>
      </c>
      <c r="P23" s="1" t="str">
        <f>"Opn4_bulkRNAseq/"&amp;A23&amp;"/outputs/45salmon_mm38_100/quant.sf"</f>
        <v>Opn4_bulkRNAseq/S2_Het_Ret_S4/outputs/45salmon_mm38_100/quant.sf</v>
      </c>
      <c r="Q23" s="5">
        <v>22693512</v>
      </c>
      <c r="R23" s="5">
        <v>21170130</v>
      </c>
      <c r="S23" s="6">
        <f>R23/Q23</f>
        <v>0.93287147445490148</v>
      </c>
      <c r="T23" s="5">
        <v>630201</v>
      </c>
      <c r="U23" s="5">
        <v>463209</v>
      </c>
      <c r="V23" s="5">
        <v>429972</v>
      </c>
      <c r="W23" s="5"/>
      <c r="X23" s="5"/>
      <c r="Y23" s="7">
        <f t="shared" si="3"/>
        <v>0</v>
      </c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  <c r="SL23" s="5"/>
      <c r="SM23" s="5"/>
      <c r="SN23" s="5"/>
      <c r="SO23" s="5"/>
      <c r="SP23" s="5"/>
      <c r="SQ23" s="5"/>
      <c r="SR23" s="5"/>
      <c r="SS23" s="5"/>
      <c r="ST23" s="5"/>
      <c r="SU23" s="5"/>
      <c r="SV23" s="5"/>
      <c r="SW23" s="5"/>
      <c r="SX23" s="5"/>
      <c r="SY23" s="5"/>
      <c r="SZ23" s="5"/>
      <c r="TA23" s="5"/>
      <c r="TB23" s="5"/>
      <c r="TC23" s="5"/>
      <c r="TD23" s="5"/>
      <c r="TE23" s="5"/>
      <c r="TF23" s="5"/>
      <c r="TG23" s="5"/>
      <c r="TH23" s="5"/>
      <c r="TI23" s="5"/>
      <c r="TJ23" s="5"/>
      <c r="TK23" s="5"/>
      <c r="TL23" s="5"/>
      <c r="TM23" s="5"/>
      <c r="TN23" s="5"/>
      <c r="TO23" s="5"/>
      <c r="TP23" s="5"/>
      <c r="TQ23" s="5"/>
      <c r="TR23" s="5"/>
      <c r="TS23" s="5"/>
      <c r="TT23" s="5"/>
      <c r="TU23" s="5"/>
      <c r="TV23" s="5"/>
      <c r="TW23" s="5"/>
      <c r="TX23" s="5"/>
      <c r="TY23" s="5"/>
      <c r="TZ23" s="5"/>
      <c r="UA23" s="5"/>
      <c r="UB23" s="5"/>
      <c r="UC23" s="5"/>
      <c r="UD23" s="5"/>
      <c r="UE23" s="5"/>
      <c r="UF23" s="5"/>
      <c r="UG23" s="5"/>
      <c r="UH23" s="5"/>
      <c r="UI23" s="5"/>
      <c r="UJ23" s="5"/>
      <c r="UK23" s="5"/>
      <c r="UL23" s="5"/>
      <c r="UM23" s="5"/>
      <c r="UN23" s="5"/>
      <c r="UO23" s="5"/>
      <c r="UP23" s="5"/>
      <c r="UQ23" s="5"/>
      <c r="UR23" s="5"/>
      <c r="US23" s="5"/>
      <c r="UT23" s="5"/>
      <c r="UU23" s="5"/>
      <c r="UV23" s="5"/>
      <c r="UW23" s="5"/>
      <c r="UX23" s="5"/>
      <c r="UY23" s="5"/>
      <c r="UZ23" s="5"/>
      <c r="VA23" s="5"/>
      <c r="VB23" s="5"/>
      <c r="VC23" s="5"/>
      <c r="VD23" s="5"/>
      <c r="VE23" s="5"/>
      <c r="VF23" s="5"/>
      <c r="VG23" s="5"/>
      <c r="VH23" s="5"/>
      <c r="VI23" s="5"/>
      <c r="VJ23" s="5"/>
      <c r="VK23" s="5"/>
      <c r="VL23" s="5"/>
      <c r="VM23" s="5"/>
      <c r="VN23" s="5"/>
      <c r="VO23" s="5"/>
      <c r="VP23" s="5"/>
      <c r="VQ23" s="5"/>
      <c r="VR23" s="5"/>
      <c r="VS23" s="5"/>
      <c r="VT23" s="5"/>
      <c r="VU23" s="5"/>
      <c r="VV23" s="5"/>
      <c r="VW23" s="5"/>
      <c r="VX23" s="5"/>
      <c r="VY23" s="5"/>
      <c r="VZ23" s="5"/>
      <c r="WA23" s="5"/>
      <c r="WB23" s="5"/>
      <c r="WC23" s="5"/>
      <c r="WD23" s="5"/>
      <c r="WE23" s="5"/>
      <c r="WF23" s="5"/>
      <c r="WG23" s="5"/>
      <c r="WH23" s="5"/>
      <c r="WI23" s="5"/>
      <c r="WJ23" s="5"/>
      <c r="WK23" s="5"/>
      <c r="WL23" s="5"/>
      <c r="WM23" s="5"/>
      <c r="WN23" s="5"/>
      <c r="WO23" s="5"/>
      <c r="WP23" s="5"/>
      <c r="WQ23" s="5"/>
      <c r="WR23" s="5"/>
      <c r="WS23" s="5"/>
      <c r="WT23" s="5"/>
      <c r="WU23" s="5"/>
      <c r="WV23" s="5"/>
      <c r="WW23" s="5"/>
      <c r="WX23" s="5"/>
      <c r="WY23" s="5"/>
      <c r="WZ23" s="5"/>
      <c r="XA23" s="5"/>
      <c r="XB23" s="5"/>
      <c r="XC23" s="5"/>
      <c r="XD23" s="5"/>
      <c r="XE23" s="5"/>
      <c r="XF23" s="5"/>
      <c r="XG23" s="5"/>
      <c r="XH23" s="5"/>
      <c r="XI23" s="5"/>
      <c r="XJ23" s="5"/>
      <c r="XK23" s="5"/>
      <c r="XL23" s="5"/>
      <c r="XM23" s="5"/>
      <c r="XN23" s="5"/>
      <c r="XO23" s="5"/>
      <c r="XP23" s="5"/>
      <c r="XQ23" s="5"/>
      <c r="XR23" s="5"/>
      <c r="XS23" s="5"/>
      <c r="XT23" s="5"/>
      <c r="XU23" s="5"/>
      <c r="XV23" s="5"/>
      <c r="XW23" s="5"/>
      <c r="XX23" s="5"/>
      <c r="XY23" s="5"/>
      <c r="XZ23" s="5"/>
      <c r="YA23" s="5"/>
      <c r="YB23" s="5"/>
      <c r="YC23" s="5"/>
      <c r="YD23" s="5"/>
      <c r="YE23" s="5"/>
      <c r="YF23" s="5"/>
      <c r="YG23" s="5"/>
      <c r="YH23" s="5"/>
      <c r="YI23" s="5"/>
      <c r="YJ23" s="5"/>
      <c r="YK23" s="5"/>
      <c r="YL23" s="5"/>
      <c r="YM23" s="5"/>
      <c r="YN23" s="5"/>
      <c r="YO23" s="5"/>
      <c r="YP23" s="5"/>
      <c r="YQ23" s="5"/>
      <c r="YR23" s="5"/>
      <c r="YS23" s="5"/>
      <c r="YT23" s="5"/>
      <c r="YU23" s="5"/>
      <c r="YV23" s="5"/>
      <c r="YW23" s="5"/>
      <c r="YX23" s="5"/>
      <c r="YY23" s="5"/>
      <c r="YZ23" s="5"/>
      <c r="ZA23" s="5"/>
      <c r="ZB23" s="5"/>
      <c r="ZC23" s="5"/>
      <c r="ZD23" s="5"/>
      <c r="ZE23" s="5"/>
      <c r="ZF23" s="5"/>
      <c r="ZG23" s="5"/>
      <c r="ZH23" s="5"/>
      <c r="ZI23" s="5"/>
      <c r="ZJ23" s="5"/>
      <c r="ZK23" s="5"/>
      <c r="ZL23" s="5"/>
      <c r="ZM23" s="5"/>
      <c r="ZN23" s="5"/>
      <c r="ZO23" s="5"/>
      <c r="ZP23" s="5"/>
      <c r="ZQ23" s="5"/>
      <c r="ZR23" s="5"/>
      <c r="ZS23" s="5"/>
      <c r="ZT23" s="5"/>
      <c r="ZU23" s="5"/>
      <c r="ZV23" s="5"/>
      <c r="ZW23" s="5"/>
      <c r="ZX23" s="5"/>
      <c r="ZY23" s="5"/>
      <c r="ZZ23" s="5"/>
      <c r="AAA23" s="5"/>
      <c r="AAB23" s="5"/>
      <c r="AAC23" s="5"/>
      <c r="AAD23" s="5"/>
      <c r="AAE23" s="5"/>
      <c r="AAF23" s="5"/>
      <c r="AAG23" s="5"/>
      <c r="AAH23" s="5"/>
      <c r="AAI23" s="5"/>
      <c r="AAJ23" s="5"/>
      <c r="AAK23" s="5"/>
      <c r="AAL23" s="5"/>
      <c r="AAM23" s="5"/>
      <c r="AAN23" s="5"/>
      <c r="AAO23" s="5"/>
      <c r="AAP23" s="5"/>
      <c r="AAQ23" s="5"/>
      <c r="AAR23" s="5"/>
      <c r="AAS23" s="5"/>
      <c r="AAT23" s="5"/>
      <c r="AAU23" s="5"/>
      <c r="AAV23" s="5"/>
      <c r="AAW23" s="5"/>
      <c r="AAX23" s="5"/>
      <c r="AAY23" s="5"/>
      <c r="AAZ23" s="5"/>
      <c r="ABA23" s="5"/>
      <c r="ABB23" s="5"/>
      <c r="ABC23" s="5"/>
      <c r="ABD23" s="5"/>
      <c r="ABE23" s="5"/>
      <c r="ABF23" s="5"/>
      <c r="ABG23" s="5"/>
      <c r="ABH23" s="5"/>
      <c r="ABI23" s="5"/>
      <c r="ABJ23" s="5"/>
      <c r="ABK23" s="5"/>
      <c r="ABL23" s="5"/>
      <c r="ABM23" s="5"/>
      <c r="ABN23" s="5"/>
      <c r="ABO23" s="5"/>
      <c r="ABP23" s="5"/>
      <c r="ABQ23" s="5"/>
      <c r="ABR23" s="5"/>
      <c r="ABS23" s="5"/>
      <c r="ABT23" s="5"/>
      <c r="ABU23" s="5"/>
      <c r="ABV23" s="5"/>
      <c r="ABW23" s="5"/>
      <c r="ABX23" s="5"/>
      <c r="ABY23" s="5"/>
      <c r="ABZ23" s="5"/>
      <c r="ACA23" s="5"/>
      <c r="ACB23" s="5"/>
      <c r="ACC23" s="5"/>
      <c r="ACD23" s="5"/>
      <c r="ACE23" s="5"/>
      <c r="ACF23" s="5"/>
      <c r="ACG23" s="5"/>
      <c r="ACH23" s="5"/>
      <c r="ACI23" s="5"/>
      <c r="ACJ23" s="5"/>
      <c r="ACK23" s="5"/>
      <c r="ACL23" s="5"/>
      <c r="ACM23" s="5"/>
      <c r="ACN23" s="5"/>
      <c r="ACO23" s="5"/>
      <c r="ACP23" s="5"/>
      <c r="ACQ23" s="5"/>
      <c r="ACR23" s="5"/>
      <c r="ACS23" s="5"/>
      <c r="ACT23" s="5"/>
      <c r="ACU23" s="5"/>
      <c r="ACV23" s="5"/>
      <c r="ACW23" s="5"/>
      <c r="ACX23" s="5"/>
      <c r="ACY23" s="5"/>
      <c r="ACZ23" s="5"/>
      <c r="ADA23" s="5"/>
      <c r="ADB23" s="5"/>
      <c r="ADC23" s="5"/>
      <c r="ADD23" s="5"/>
      <c r="ADE23" s="5"/>
      <c r="ADF23" s="5"/>
      <c r="ADG23" s="5"/>
      <c r="ADH23" s="5"/>
      <c r="ADI23" s="5"/>
      <c r="ADJ23" s="5"/>
      <c r="ADK23" s="5"/>
      <c r="ADL23" s="5"/>
      <c r="ADM23" s="5"/>
      <c r="ADN23" s="5"/>
      <c r="ADO23" s="5"/>
      <c r="ADP23" s="5"/>
      <c r="ADQ23" s="5"/>
      <c r="ADR23" s="5"/>
      <c r="ADS23" s="5"/>
      <c r="ADT23" s="5"/>
      <c r="ADU23" s="5"/>
      <c r="ADV23" s="5"/>
      <c r="ADW23" s="5"/>
      <c r="ADX23" s="5"/>
      <c r="ADY23" s="5"/>
      <c r="ADZ23" s="5"/>
      <c r="AEA23" s="5"/>
      <c r="AEB23" s="5"/>
      <c r="AEC23" s="5"/>
      <c r="AED23" s="5"/>
      <c r="AEE23" s="5"/>
      <c r="AEF23" s="5"/>
      <c r="AEG23" s="5"/>
      <c r="AEH23" s="5"/>
      <c r="AEI23" s="5"/>
      <c r="AEJ23" s="5"/>
      <c r="AEK23" s="5"/>
      <c r="AEL23" s="5"/>
      <c r="AEM23" s="5"/>
      <c r="AEN23" s="5"/>
      <c r="AEO23" s="5"/>
      <c r="AEP23" s="5"/>
      <c r="AEQ23" s="5"/>
      <c r="AER23" s="5"/>
      <c r="AES23" s="5"/>
      <c r="AET23" s="5"/>
      <c r="AEU23" s="5"/>
      <c r="AEV23" s="5"/>
      <c r="AEW23" s="5"/>
      <c r="AEX23" s="5"/>
      <c r="AEY23" s="5"/>
      <c r="AEZ23" s="5"/>
      <c r="AFA23" s="5"/>
      <c r="AFB23" s="5"/>
      <c r="AFC23" s="5"/>
      <c r="AFD23" s="5"/>
      <c r="AFE23" s="5"/>
      <c r="AFF23" s="5"/>
      <c r="AFG23" s="5"/>
      <c r="AFH23" s="5"/>
      <c r="AFI23" s="5"/>
      <c r="AFJ23" s="5"/>
      <c r="AFK23" s="5"/>
      <c r="AFL23" s="5"/>
      <c r="AFM23" s="5"/>
      <c r="AFN23" s="5"/>
      <c r="AFO23" s="5"/>
      <c r="AFP23" s="5"/>
      <c r="AFQ23" s="5"/>
      <c r="AFR23" s="5"/>
      <c r="AFS23" s="5"/>
      <c r="AFT23" s="5"/>
      <c r="AFU23" s="5"/>
      <c r="AFV23" s="5"/>
      <c r="AFW23" s="5"/>
      <c r="AFX23" s="5"/>
      <c r="AFY23" s="5"/>
      <c r="AFZ23" s="5"/>
      <c r="AGA23" s="5"/>
      <c r="AGB23" s="5"/>
      <c r="AGC23" s="5"/>
      <c r="AGD23" s="5"/>
      <c r="AGE23" s="5"/>
      <c r="AGF23" s="5"/>
      <c r="AGG23" s="5"/>
      <c r="AGH23" s="5"/>
      <c r="AGI23" s="5"/>
      <c r="AGJ23" s="5"/>
      <c r="AGK23" s="5"/>
      <c r="AGL23" s="5"/>
      <c r="AGM23" s="5"/>
      <c r="AGN23" s="5"/>
      <c r="AGO23" s="5"/>
      <c r="AGP23" s="5"/>
      <c r="AGQ23" s="5"/>
      <c r="AGR23" s="5"/>
      <c r="AGS23" s="5"/>
      <c r="AGT23" s="5"/>
      <c r="AGU23" s="5"/>
      <c r="AGV23" s="5"/>
      <c r="AGW23" s="5"/>
      <c r="AGX23" s="5"/>
      <c r="AGY23" s="5"/>
      <c r="AGZ23" s="5"/>
      <c r="AHA23" s="5"/>
      <c r="AHB23" s="5"/>
      <c r="AHC23" s="5"/>
      <c r="AHD23" s="5"/>
      <c r="AHE23" s="5"/>
      <c r="AHF23" s="5"/>
      <c r="AHG23" s="5"/>
      <c r="AHH23" s="5"/>
      <c r="AHI23" s="5"/>
      <c r="AHJ23" s="5"/>
      <c r="AHK23" s="5"/>
      <c r="AHL23" s="5"/>
      <c r="AHM23" s="5"/>
      <c r="AHN23" s="5"/>
      <c r="AHO23" s="5"/>
      <c r="AHP23" s="5"/>
      <c r="AHQ23" s="5"/>
      <c r="AHR23" s="5"/>
      <c r="AHS23" s="5"/>
      <c r="AHT23" s="5"/>
      <c r="AHU23" s="5"/>
      <c r="AHV23" s="5"/>
      <c r="AHW23" s="5"/>
      <c r="AHX23" s="5"/>
      <c r="AHY23" s="5"/>
      <c r="AHZ23" s="5"/>
      <c r="AIA23" s="5"/>
      <c r="AIB23" s="5"/>
      <c r="AIC23" s="5"/>
      <c r="AID23" s="5"/>
      <c r="AIE23" s="5"/>
      <c r="AIF23" s="5"/>
      <c r="AIG23" s="5"/>
      <c r="AIH23" s="5"/>
      <c r="AII23" s="5"/>
      <c r="AIJ23" s="5"/>
      <c r="AIK23" s="5"/>
      <c r="AIL23" s="5"/>
      <c r="AIM23" s="5"/>
      <c r="AIN23" s="5"/>
      <c r="AIO23" s="5"/>
      <c r="AIP23" s="5"/>
      <c r="AIQ23" s="5"/>
      <c r="AIR23" s="5"/>
      <c r="AIS23" s="5"/>
      <c r="AIT23" s="5"/>
      <c r="AIU23" s="5"/>
      <c r="AIV23" s="5"/>
      <c r="AIW23" s="5"/>
      <c r="AIX23" s="5"/>
      <c r="AIY23" s="5"/>
      <c r="AIZ23" s="5"/>
      <c r="AJA23" s="5"/>
      <c r="AJB23" s="5"/>
      <c r="AJC23" s="5"/>
      <c r="AJD23" s="5"/>
      <c r="AJE23" s="5"/>
      <c r="AJF23" s="5"/>
      <c r="AJG23" s="5"/>
      <c r="AJH23" s="5"/>
      <c r="AJI23" s="5"/>
      <c r="AJJ23" s="5"/>
      <c r="AJK23" s="5"/>
      <c r="AJL23" s="5"/>
      <c r="AJM23" s="5"/>
      <c r="AJN23" s="5"/>
      <c r="AJO23" s="5"/>
      <c r="AJP23" s="5"/>
      <c r="AJQ23" s="5"/>
      <c r="AJR23" s="5"/>
      <c r="AJS23" s="5"/>
      <c r="AJT23" s="5"/>
      <c r="AJU23" s="5"/>
      <c r="AJV23" s="5"/>
      <c r="AJW23" s="5"/>
      <c r="AJX23" s="5"/>
      <c r="AJY23" s="5"/>
      <c r="AJZ23" s="5"/>
      <c r="AKA23" s="5"/>
      <c r="AKB23" s="5"/>
      <c r="AKC23" s="5"/>
      <c r="AKD23" s="5"/>
      <c r="AKE23" s="5"/>
      <c r="AKF23" s="5"/>
      <c r="AKG23" s="5"/>
      <c r="AKH23" s="5"/>
      <c r="AKI23" s="5"/>
      <c r="AKJ23" s="5"/>
      <c r="AKK23" s="5"/>
      <c r="AKL23" s="5"/>
      <c r="AKM23" s="5"/>
      <c r="AKN23" s="5"/>
      <c r="AKO23" s="5"/>
      <c r="AKP23" s="5"/>
      <c r="AKQ23" s="5"/>
      <c r="AKR23" s="5"/>
      <c r="AKS23" s="5"/>
      <c r="AKT23" s="5"/>
      <c r="AKU23" s="5"/>
      <c r="AKV23" s="5"/>
      <c r="AKW23" s="5"/>
      <c r="AKX23" s="5"/>
      <c r="AKY23" s="5"/>
      <c r="AKZ23" s="5"/>
      <c r="ALA23" s="5"/>
      <c r="ALB23" s="5"/>
      <c r="ALC23" s="5"/>
      <c r="ALD23" s="5"/>
      <c r="ALE23" s="5"/>
      <c r="ALF23" s="5"/>
      <c r="ALG23" s="5"/>
      <c r="ALH23" s="5"/>
      <c r="ALI23" s="5"/>
      <c r="ALJ23" s="5"/>
      <c r="ALK23" s="5"/>
      <c r="ALL23" s="5"/>
      <c r="ALM23" s="5"/>
      <c r="ALN23" s="5"/>
      <c r="ALO23" s="5"/>
      <c r="ALP23" s="5"/>
      <c r="ALQ23" s="5"/>
      <c r="ALR23" s="5"/>
      <c r="ALS23" s="5"/>
      <c r="ALT23" s="5"/>
      <c r="ALU23" s="5"/>
      <c r="ALV23" s="5"/>
      <c r="ALW23" s="5"/>
      <c r="ALX23" s="5"/>
      <c r="ALY23" s="5"/>
      <c r="ALZ23" s="5"/>
      <c r="AMA23" s="5"/>
      <c r="AMB23" s="5"/>
      <c r="AMC23" s="5"/>
      <c r="AMD23" s="5"/>
      <c r="AME23" s="5"/>
      <c r="AMF23" s="5"/>
    </row>
    <row r="24" spans="1:1020" s="8" customFormat="1" x14ac:dyDescent="0.2">
      <c r="A24" s="11" t="s">
        <v>104</v>
      </c>
      <c r="B24" s="11" t="s">
        <v>79</v>
      </c>
      <c r="C24" s="11" t="s">
        <v>25</v>
      </c>
      <c r="D24" s="11" t="s">
        <v>27</v>
      </c>
      <c r="E24" s="5">
        <v>5</v>
      </c>
      <c r="F24" s="11" t="s">
        <v>30</v>
      </c>
      <c r="G24" s="11" t="s">
        <v>96</v>
      </c>
      <c r="H24" s="11" t="s">
        <v>96</v>
      </c>
      <c r="I24" s="5" t="s">
        <v>105</v>
      </c>
      <c r="J24" s="5" t="s">
        <v>106</v>
      </c>
      <c r="K24" s="11">
        <v>2</v>
      </c>
      <c r="L24" s="11" t="s">
        <v>91</v>
      </c>
      <c r="M24" s="5"/>
      <c r="N24" s="5"/>
      <c r="O24" s="5" t="str">
        <f>"Opn4_bulkRNAseq/"&amp;A24&amp;"/outputs/40hisat2_mm38_100/mm38_100_genome-paired_gene_sreverse_gene_ID.count.xz"</f>
        <v>Opn4_bulkRNAseq/S2_Het_dLGN_S5/outputs/40hisat2_mm38_100/mm38_100_genome-paired_gene_sreverse_gene_ID.count.xz</v>
      </c>
      <c r="P24" s="1" t="str">
        <f>"Opn4_bulkRNAseq/"&amp;A24&amp;"/outputs/45salmon_mm38_100/quant.sf"</f>
        <v>Opn4_bulkRNAseq/S2_Het_dLGN_S5/outputs/45salmon_mm38_100/quant.sf</v>
      </c>
      <c r="Q24" s="5">
        <v>23090568</v>
      </c>
      <c r="R24" s="5">
        <v>21465670</v>
      </c>
      <c r="S24" s="6">
        <f t="shared" si="4"/>
        <v>0.92962936208412028</v>
      </c>
      <c r="T24" s="5">
        <v>657921</v>
      </c>
      <c r="U24" s="5">
        <v>472500</v>
      </c>
      <c r="V24" s="5">
        <v>494477</v>
      </c>
      <c r="W24" s="5"/>
      <c r="X24" s="5"/>
      <c r="Y24" s="7">
        <f t="shared" si="3"/>
        <v>0</v>
      </c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  <c r="LZ24" s="5"/>
      <c r="MA24" s="5"/>
      <c r="MB24" s="5"/>
      <c r="MC24" s="5"/>
      <c r="MD24" s="5"/>
      <c r="ME24" s="5"/>
      <c r="MF24" s="5"/>
      <c r="MG24" s="5"/>
      <c r="MH24" s="5"/>
      <c r="MI24" s="5"/>
      <c r="MJ24" s="5"/>
      <c r="MK24" s="5"/>
      <c r="ML24" s="5"/>
      <c r="MM24" s="5"/>
      <c r="MN24" s="5"/>
      <c r="MO24" s="5"/>
      <c r="MP24" s="5"/>
      <c r="MQ24" s="5"/>
      <c r="MR24" s="5"/>
      <c r="MS24" s="5"/>
      <c r="MT24" s="5"/>
      <c r="MU24" s="5"/>
      <c r="MV24" s="5"/>
      <c r="MW24" s="5"/>
      <c r="MX24" s="5"/>
      <c r="MY24" s="5"/>
      <c r="MZ24" s="5"/>
      <c r="NA24" s="5"/>
      <c r="NB24" s="5"/>
      <c r="NC24" s="5"/>
      <c r="ND24" s="5"/>
      <c r="NE24" s="5"/>
      <c r="NF24" s="5"/>
      <c r="NG24" s="5"/>
      <c r="NH24" s="5"/>
      <c r="NI24" s="5"/>
      <c r="NJ24" s="5"/>
      <c r="NK24" s="5"/>
      <c r="NL24" s="5"/>
      <c r="NM24" s="5"/>
      <c r="NN24" s="5"/>
      <c r="NO24" s="5"/>
      <c r="NP24" s="5"/>
      <c r="NQ24" s="5"/>
      <c r="NR24" s="5"/>
      <c r="NS24" s="5"/>
      <c r="NT24" s="5"/>
      <c r="NU24" s="5"/>
      <c r="NV24" s="5"/>
      <c r="NW24" s="5"/>
      <c r="NX24" s="5"/>
      <c r="NY24" s="5"/>
      <c r="NZ24" s="5"/>
      <c r="OA24" s="5"/>
      <c r="OB24" s="5"/>
      <c r="OC24" s="5"/>
      <c r="OD24" s="5"/>
      <c r="OE24" s="5"/>
      <c r="OF24" s="5"/>
      <c r="OG24" s="5"/>
      <c r="OH24" s="5"/>
      <c r="OI24" s="5"/>
      <c r="OJ24" s="5"/>
      <c r="OK24" s="5"/>
      <c r="OL24" s="5"/>
      <c r="OM24" s="5"/>
      <c r="ON24" s="5"/>
      <c r="OO24" s="5"/>
      <c r="OP24" s="5"/>
      <c r="OQ24" s="5"/>
      <c r="OR24" s="5"/>
      <c r="OS24" s="5"/>
      <c r="OT24" s="5"/>
      <c r="OU24" s="5"/>
      <c r="OV24" s="5"/>
      <c r="OW24" s="5"/>
      <c r="OX24" s="5"/>
      <c r="OY24" s="5"/>
      <c r="OZ24" s="5"/>
      <c r="PA24" s="5"/>
      <c r="PB24" s="5"/>
      <c r="PC24" s="5"/>
      <c r="PD24" s="5"/>
      <c r="PE24" s="5"/>
      <c r="PF24" s="5"/>
      <c r="PG24" s="5"/>
      <c r="PH24" s="5"/>
      <c r="PI24" s="5"/>
      <c r="PJ24" s="5"/>
      <c r="PK24" s="5"/>
      <c r="PL24" s="5"/>
      <c r="PM24" s="5"/>
      <c r="PN24" s="5"/>
      <c r="PO24" s="5"/>
      <c r="PP24" s="5"/>
      <c r="PQ24" s="5"/>
      <c r="PR24" s="5"/>
      <c r="PS24" s="5"/>
      <c r="PT24" s="5"/>
      <c r="PU24" s="5"/>
      <c r="PV24" s="5"/>
      <c r="PW24" s="5"/>
      <c r="PX24" s="5"/>
      <c r="PY24" s="5"/>
      <c r="PZ24" s="5"/>
      <c r="QA24" s="5"/>
      <c r="QB24" s="5"/>
      <c r="QC24" s="5"/>
      <c r="QD24" s="5"/>
      <c r="QE24" s="5"/>
      <c r="QF24" s="5"/>
      <c r="QG24" s="5"/>
      <c r="QH24" s="5"/>
      <c r="QI24" s="5"/>
      <c r="QJ24" s="5"/>
      <c r="QK24" s="5"/>
      <c r="QL24" s="5"/>
      <c r="QM24" s="5"/>
      <c r="QN24" s="5"/>
      <c r="QO24" s="5"/>
      <c r="QP24" s="5"/>
      <c r="QQ24" s="5"/>
      <c r="QR24" s="5"/>
      <c r="QS24" s="5"/>
      <c r="QT24" s="5"/>
      <c r="QU24" s="5"/>
      <c r="QV24" s="5"/>
      <c r="QW24" s="5"/>
      <c r="QX24" s="5"/>
      <c r="QY24" s="5"/>
      <c r="QZ24" s="5"/>
      <c r="RA24" s="5"/>
      <c r="RB24" s="5"/>
      <c r="RC24" s="5"/>
      <c r="RD24" s="5"/>
      <c r="RE24" s="5"/>
      <c r="RF24" s="5"/>
      <c r="RG24" s="5"/>
      <c r="RH24" s="5"/>
      <c r="RI24" s="5"/>
      <c r="RJ24" s="5"/>
      <c r="RK24" s="5"/>
      <c r="RL24" s="5"/>
      <c r="RM24" s="5"/>
      <c r="RN24" s="5"/>
      <c r="RO24" s="5"/>
      <c r="RP24" s="5"/>
      <c r="RQ24" s="5"/>
      <c r="RR24" s="5"/>
      <c r="RS24" s="5"/>
      <c r="RT24" s="5"/>
      <c r="RU24" s="5"/>
      <c r="RV24" s="5"/>
      <c r="RW24" s="5"/>
      <c r="RX24" s="5"/>
      <c r="RY24" s="5"/>
      <c r="RZ24" s="5"/>
      <c r="SA24" s="5"/>
      <c r="SB24" s="5"/>
      <c r="SC24" s="5"/>
      <c r="SD24" s="5"/>
      <c r="SE24" s="5"/>
      <c r="SF24" s="5"/>
      <c r="SG24" s="5"/>
      <c r="SH24" s="5"/>
      <c r="SI24" s="5"/>
      <c r="SJ24" s="5"/>
      <c r="SK24" s="5"/>
      <c r="SL24" s="5"/>
      <c r="SM24" s="5"/>
      <c r="SN24" s="5"/>
      <c r="SO24" s="5"/>
      <c r="SP24" s="5"/>
      <c r="SQ24" s="5"/>
      <c r="SR24" s="5"/>
      <c r="SS24" s="5"/>
      <c r="ST24" s="5"/>
      <c r="SU24" s="5"/>
      <c r="SV24" s="5"/>
      <c r="SW24" s="5"/>
      <c r="SX24" s="5"/>
      <c r="SY24" s="5"/>
      <c r="SZ24" s="5"/>
      <c r="TA24" s="5"/>
      <c r="TB24" s="5"/>
      <c r="TC24" s="5"/>
      <c r="TD24" s="5"/>
      <c r="TE24" s="5"/>
      <c r="TF24" s="5"/>
      <c r="TG24" s="5"/>
      <c r="TH24" s="5"/>
      <c r="TI24" s="5"/>
      <c r="TJ24" s="5"/>
      <c r="TK24" s="5"/>
      <c r="TL24" s="5"/>
      <c r="TM24" s="5"/>
      <c r="TN24" s="5"/>
      <c r="TO24" s="5"/>
      <c r="TP24" s="5"/>
      <c r="TQ24" s="5"/>
      <c r="TR24" s="5"/>
      <c r="TS24" s="5"/>
      <c r="TT24" s="5"/>
      <c r="TU24" s="5"/>
      <c r="TV24" s="5"/>
      <c r="TW24" s="5"/>
      <c r="TX24" s="5"/>
      <c r="TY24" s="5"/>
      <c r="TZ24" s="5"/>
      <c r="UA24" s="5"/>
      <c r="UB24" s="5"/>
      <c r="UC24" s="5"/>
      <c r="UD24" s="5"/>
      <c r="UE24" s="5"/>
      <c r="UF24" s="5"/>
      <c r="UG24" s="5"/>
      <c r="UH24" s="5"/>
      <c r="UI24" s="5"/>
      <c r="UJ24" s="5"/>
      <c r="UK24" s="5"/>
      <c r="UL24" s="5"/>
      <c r="UM24" s="5"/>
      <c r="UN24" s="5"/>
      <c r="UO24" s="5"/>
      <c r="UP24" s="5"/>
      <c r="UQ24" s="5"/>
      <c r="UR24" s="5"/>
      <c r="US24" s="5"/>
      <c r="UT24" s="5"/>
      <c r="UU24" s="5"/>
      <c r="UV24" s="5"/>
      <c r="UW24" s="5"/>
      <c r="UX24" s="5"/>
      <c r="UY24" s="5"/>
      <c r="UZ24" s="5"/>
      <c r="VA24" s="5"/>
      <c r="VB24" s="5"/>
      <c r="VC24" s="5"/>
      <c r="VD24" s="5"/>
      <c r="VE24" s="5"/>
      <c r="VF24" s="5"/>
      <c r="VG24" s="5"/>
      <c r="VH24" s="5"/>
      <c r="VI24" s="5"/>
      <c r="VJ24" s="5"/>
      <c r="VK24" s="5"/>
      <c r="VL24" s="5"/>
      <c r="VM24" s="5"/>
      <c r="VN24" s="5"/>
      <c r="VO24" s="5"/>
      <c r="VP24" s="5"/>
      <c r="VQ24" s="5"/>
      <c r="VR24" s="5"/>
      <c r="VS24" s="5"/>
      <c r="VT24" s="5"/>
      <c r="VU24" s="5"/>
      <c r="VV24" s="5"/>
      <c r="VW24" s="5"/>
      <c r="VX24" s="5"/>
      <c r="VY24" s="5"/>
      <c r="VZ24" s="5"/>
      <c r="WA24" s="5"/>
      <c r="WB24" s="5"/>
      <c r="WC24" s="5"/>
      <c r="WD24" s="5"/>
      <c r="WE24" s="5"/>
      <c r="WF24" s="5"/>
      <c r="WG24" s="5"/>
      <c r="WH24" s="5"/>
      <c r="WI24" s="5"/>
      <c r="WJ24" s="5"/>
      <c r="WK24" s="5"/>
      <c r="WL24" s="5"/>
      <c r="WM24" s="5"/>
      <c r="WN24" s="5"/>
      <c r="WO24" s="5"/>
      <c r="WP24" s="5"/>
      <c r="WQ24" s="5"/>
      <c r="WR24" s="5"/>
      <c r="WS24" s="5"/>
      <c r="WT24" s="5"/>
      <c r="WU24" s="5"/>
      <c r="WV24" s="5"/>
      <c r="WW24" s="5"/>
      <c r="WX24" s="5"/>
      <c r="WY24" s="5"/>
      <c r="WZ24" s="5"/>
      <c r="XA24" s="5"/>
      <c r="XB24" s="5"/>
      <c r="XC24" s="5"/>
      <c r="XD24" s="5"/>
      <c r="XE24" s="5"/>
      <c r="XF24" s="5"/>
      <c r="XG24" s="5"/>
      <c r="XH24" s="5"/>
      <c r="XI24" s="5"/>
      <c r="XJ24" s="5"/>
      <c r="XK24" s="5"/>
      <c r="XL24" s="5"/>
      <c r="XM24" s="5"/>
      <c r="XN24" s="5"/>
      <c r="XO24" s="5"/>
      <c r="XP24" s="5"/>
      <c r="XQ24" s="5"/>
      <c r="XR24" s="5"/>
      <c r="XS24" s="5"/>
      <c r="XT24" s="5"/>
      <c r="XU24" s="5"/>
      <c r="XV24" s="5"/>
      <c r="XW24" s="5"/>
      <c r="XX24" s="5"/>
      <c r="XY24" s="5"/>
      <c r="XZ24" s="5"/>
      <c r="YA24" s="5"/>
      <c r="YB24" s="5"/>
      <c r="YC24" s="5"/>
      <c r="YD24" s="5"/>
      <c r="YE24" s="5"/>
      <c r="YF24" s="5"/>
      <c r="YG24" s="5"/>
      <c r="YH24" s="5"/>
      <c r="YI24" s="5"/>
      <c r="YJ24" s="5"/>
      <c r="YK24" s="5"/>
      <c r="YL24" s="5"/>
      <c r="YM24" s="5"/>
      <c r="YN24" s="5"/>
      <c r="YO24" s="5"/>
      <c r="YP24" s="5"/>
      <c r="YQ24" s="5"/>
      <c r="YR24" s="5"/>
      <c r="YS24" s="5"/>
      <c r="YT24" s="5"/>
      <c r="YU24" s="5"/>
      <c r="YV24" s="5"/>
      <c r="YW24" s="5"/>
      <c r="YX24" s="5"/>
      <c r="YY24" s="5"/>
      <c r="YZ24" s="5"/>
      <c r="ZA24" s="5"/>
      <c r="ZB24" s="5"/>
      <c r="ZC24" s="5"/>
      <c r="ZD24" s="5"/>
      <c r="ZE24" s="5"/>
      <c r="ZF24" s="5"/>
      <c r="ZG24" s="5"/>
      <c r="ZH24" s="5"/>
      <c r="ZI24" s="5"/>
      <c r="ZJ24" s="5"/>
      <c r="ZK24" s="5"/>
      <c r="ZL24" s="5"/>
      <c r="ZM24" s="5"/>
      <c r="ZN24" s="5"/>
      <c r="ZO24" s="5"/>
      <c r="ZP24" s="5"/>
      <c r="ZQ24" s="5"/>
      <c r="ZR24" s="5"/>
      <c r="ZS24" s="5"/>
      <c r="ZT24" s="5"/>
      <c r="ZU24" s="5"/>
      <c r="ZV24" s="5"/>
      <c r="ZW24" s="5"/>
      <c r="ZX24" s="5"/>
      <c r="ZY24" s="5"/>
      <c r="ZZ24" s="5"/>
      <c r="AAA24" s="5"/>
      <c r="AAB24" s="5"/>
      <c r="AAC24" s="5"/>
      <c r="AAD24" s="5"/>
      <c r="AAE24" s="5"/>
      <c r="AAF24" s="5"/>
      <c r="AAG24" s="5"/>
      <c r="AAH24" s="5"/>
      <c r="AAI24" s="5"/>
      <c r="AAJ24" s="5"/>
      <c r="AAK24" s="5"/>
      <c r="AAL24" s="5"/>
      <c r="AAM24" s="5"/>
      <c r="AAN24" s="5"/>
      <c r="AAO24" s="5"/>
      <c r="AAP24" s="5"/>
      <c r="AAQ24" s="5"/>
      <c r="AAR24" s="5"/>
      <c r="AAS24" s="5"/>
      <c r="AAT24" s="5"/>
      <c r="AAU24" s="5"/>
      <c r="AAV24" s="5"/>
      <c r="AAW24" s="5"/>
      <c r="AAX24" s="5"/>
      <c r="AAY24" s="5"/>
      <c r="AAZ24" s="5"/>
      <c r="ABA24" s="5"/>
      <c r="ABB24" s="5"/>
      <c r="ABC24" s="5"/>
      <c r="ABD24" s="5"/>
      <c r="ABE24" s="5"/>
      <c r="ABF24" s="5"/>
      <c r="ABG24" s="5"/>
      <c r="ABH24" s="5"/>
      <c r="ABI24" s="5"/>
      <c r="ABJ24" s="5"/>
      <c r="ABK24" s="5"/>
      <c r="ABL24" s="5"/>
      <c r="ABM24" s="5"/>
      <c r="ABN24" s="5"/>
      <c r="ABO24" s="5"/>
      <c r="ABP24" s="5"/>
      <c r="ABQ24" s="5"/>
      <c r="ABR24" s="5"/>
      <c r="ABS24" s="5"/>
      <c r="ABT24" s="5"/>
      <c r="ABU24" s="5"/>
      <c r="ABV24" s="5"/>
      <c r="ABW24" s="5"/>
      <c r="ABX24" s="5"/>
      <c r="ABY24" s="5"/>
      <c r="ABZ24" s="5"/>
      <c r="ACA24" s="5"/>
      <c r="ACB24" s="5"/>
      <c r="ACC24" s="5"/>
      <c r="ACD24" s="5"/>
      <c r="ACE24" s="5"/>
      <c r="ACF24" s="5"/>
      <c r="ACG24" s="5"/>
      <c r="ACH24" s="5"/>
      <c r="ACI24" s="5"/>
      <c r="ACJ24" s="5"/>
      <c r="ACK24" s="5"/>
      <c r="ACL24" s="5"/>
      <c r="ACM24" s="5"/>
      <c r="ACN24" s="5"/>
      <c r="ACO24" s="5"/>
      <c r="ACP24" s="5"/>
      <c r="ACQ24" s="5"/>
      <c r="ACR24" s="5"/>
      <c r="ACS24" s="5"/>
      <c r="ACT24" s="5"/>
      <c r="ACU24" s="5"/>
      <c r="ACV24" s="5"/>
      <c r="ACW24" s="5"/>
      <c r="ACX24" s="5"/>
      <c r="ACY24" s="5"/>
      <c r="ACZ24" s="5"/>
      <c r="ADA24" s="5"/>
      <c r="ADB24" s="5"/>
      <c r="ADC24" s="5"/>
      <c r="ADD24" s="5"/>
      <c r="ADE24" s="5"/>
      <c r="ADF24" s="5"/>
      <c r="ADG24" s="5"/>
      <c r="ADH24" s="5"/>
      <c r="ADI24" s="5"/>
      <c r="ADJ24" s="5"/>
      <c r="ADK24" s="5"/>
      <c r="ADL24" s="5"/>
      <c r="ADM24" s="5"/>
      <c r="ADN24" s="5"/>
      <c r="ADO24" s="5"/>
      <c r="ADP24" s="5"/>
      <c r="ADQ24" s="5"/>
      <c r="ADR24" s="5"/>
      <c r="ADS24" s="5"/>
      <c r="ADT24" s="5"/>
      <c r="ADU24" s="5"/>
      <c r="ADV24" s="5"/>
      <c r="ADW24" s="5"/>
      <c r="ADX24" s="5"/>
      <c r="ADY24" s="5"/>
      <c r="ADZ24" s="5"/>
      <c r="AEA24" s="5"/>
      <c r="AEB24" s="5"/>
      <c r="AEC24" s="5"/>
      <c r="AED24" s="5"/>
      <c r="AEE24" s="5"/>
      <c r="AEF24" s="5"/>
      <c r="AEG24" s="5"/>
      <c r="AEH24" s="5"/>
      <c r="AEI24" s="5"/>
      <c r="AEJ24" s="5"/>
      <c r="AEK24" s="5"/>
      <c r="AEL24" s="5"/>
      <c r="AEM24" s="5"/>
      <c r="AEN24" s="5"/>
      <c r="AEO24" s="5"/>
      <c r="AEP24" s="5"/>
      <c r="AEQ24" s="5"/>
      <c r="AER24" s="5"/>
      <c r="AES24" s="5"/>
      <c r="AET24" s="5"/>
      <c r="AEU24" s="5"/>
      <c r="AEV24" s="5"/>
      <c r="AEW24" s="5"/>
      <c r="AEX24" s="5"/>
      <c r="AEY24" s="5"/>
      <c r="AEZ24" s="5"/>
      <c r="AFA24" s="5"/>
      <c r="AFB24" s="5"/>
      <c r="AFC24" s="5"/>
      <c r="AFD24" s="5"/>
      <c r="AFE24" s="5"/>
      <c r="AFF24" s="5"/>
      <c r="AFG24" s="5"/>
      <c r="AFH24" s="5"/>
      <c r="AFI24" s="5"/>
      <c r="AFJ24" s="5"/>
      <c r="AFK24" s="5"/>
      <c r="AFL24" s="5"/>
      <c r="AFM24" s="5"/>
      <c r="AFN24" s="5"/>
      <c r="AFO24" s="5"/>
      <c r="AFP24" s="5"/>
      <c r="AFQ24" s="5"/>
      <c r="AFR24" s="5"/>
      <c r="AFS24" s="5"/>
      <c r="AFT24" s="5"/>
      <c r="AFU24" s="5"/>
      <c r="AFV24" s="5"/>
      <c r="AFW24" s="5"/>
      <c r="AFX24" s="5"/>
      <c r="AFY24" s="5"/>
      <c r="AFZ24" s="5"/>
      <c r="AGA24" s="5"/>
      <c r="AGB24" s="5"/>
      <c r="AGC24" s="5"/>
      <c r="AGD24" s="5"/>
      <c r="AGE24" s="5"/>
      <c r="AGF24" s="5"/>
      <c r="AGG24" s="5"/>
      <c r="AGH24" s="5"/>
      <c r="AGI24" s="5"/>
      <c r="AGJ24" s="5"/>
      <c r="AGK24" s="5"/>
      <c r="AGL24" s="5"/>
      <c r="AGM24" s="5"/>
      <c r="AGN24" s="5"/>
      <c r="AGO24" s="5"/>
      <c r="AGP24" s="5"/>
      <c r="AGQ24" s="5"/>
      <c r="AGR24" s="5"/>
      <c r="AGS24" s="5"/>
      <c r="AGT24" s="5"/>
      <c r="AGU24" s="5"/>
      <c r="AGV24" s="5"/>
      <c r="AGW24" s="5"/>
      <c r="AGX24" s="5"/>
      <c r="AGY24" s="5"/>
      <c r="AGZ24" s="5"/>
      <c r="AHA24" s="5"/>
      <c r="AHB24" s="5"/>
      <c r="AHC24" s="5"/>
      <c r="AHD24" s="5"/>
      <c r="AHE24" s="5"/>
      <c r="AHF24" s="5"/>
      <c r="AHG24" s="5"/>
      <c r="AHH24" s="5"/>
      <c r="AHI24" s="5"/>
      <c r="AHJ24" s="5"/>
      <c r="AHK24" s="5"/>
      <c r="AHL24" s="5"/>
      <c r="AHM24" s="5"/>
      <c r="AHN24" s="5"/>
      <c r="AHO24" s="5"/>
      <c r="AHP24" s="5"/>
      <c r="AHQ24" s="5"/>
      <c r="AHR24" s="5"/>
      <c r="AHS24" s="5"/>
      <c r="AHT24" s="5"/>
      <c r="AHU24" s="5"/>
      <c r="AHV24" s="5"/>
      <c r="AHW24" s="5"/>
      <c r="AHX24" s="5"/>
      <c r="AHY24" s="5"/>
      <c r="AHZ24" s="5"/>
      <c r="AIA24" s="5"/>
      <c r="AIB24" s="5"/>
      <c r="AIC24" s="5"/>
      <c r="AID24" s="5"/>
      <c r="AIE24" s="5"/>
      <c r="AIF24" s="5"/>
      <c r="AIG24" s="5"/>
      <c r="AIH24" s="5"/>
      <c r="AII24" s="5"/>
      <c r="AIJ24" s="5"/>
      <c r="AIK24" s="5"/>
      <c r="AIL24" s="5"/>
      <c r="AIM24" s="5"/>
      <c r="AIN24" s="5"/>
      <c r="AIO24" s="5"/>
      <c r="AIP24" s="5"/>
      <c r="AIQ24" s="5"/>
      <c r="AIR24" s="5"/>
      <c r="AIS24" s="5"/>
      <c r="AIT24" s="5"/>
      <c r="AIU24" s="5"/>
      <c r="AIV24" s="5"/>
      <c r="AIW24" s="5"/>
      <c r="AIX24" s="5"/>
      <c r="AIY24" s="5"/>
      <c r="AIZ24" s="5"/>
      <c r="AJA24" s="5"/>
      <c r="AJB24" s="5"/>
      <c r="AJC24" s="5"/>
      <c r="AJD24" s="5"/>
      <c r="AJE24" s="5"/>
      <c r="AJF24" s="5"/>
      <c r="AJG24" s="5"/>
      <c r="AJH24" s="5"/>
      <c r="AJI24" s="5"/>
      <c r="AJJ24" s="5"/>
      <c r="AJK24" s="5"/>
      <c r="AJL24" s="5"/>
      <c r="AJM24" s="5"/>
      <c r="AJN24" s="5"/>
      <c r="AJO24" s="5"/>
      <c r="AJP24" s="5"/>
      <c r="AJQ24" s="5"/>
      <c r="AJR24" s="5"/>
      <c r="AJS24" s="5"/>
      <c r="AJT24" s="5"/>
      <c r="AJU24" s="5"/>
      <c r="AJV24" s="5"/>
      <c r="AJW24" s="5"/>
      <c r="AJX24" s="5"/>
      <c r="AJY24" s="5"/>
      <c r="AJZ24" s="5"/>
      <c r="AKA24" s="5"/>
      <c r="AKB24" s="5"/>
      <c r="AKC24" s="5"/>
      <c r="AKD24" s="5"/>
      <c r="AKE24" s="5"/>
      <c r="AKF24" s="5"/>
      <c r="AKG24" s="5"/>
      <c r="AKH24" s="5"/>
      <c r="AKI24" s="5"/>
      <c r="AKJ24" s="5"/>
      <c r="AKK24" s="5"/>
      <c r="AKL24" s="5"/>
      <c r="AKM24" s="5"/>
      <c r="AKN24" s="5"/>
      <c r="AKO24" s="5"/>
      <c r="AKP24" s="5"/>
      <c r="AKQ24" s="5"/>
      <c r="AKR24" s="5"/>
      <c r="AKS24" s="5"/>
      <c r="AKT24" s="5"/>
      <c r="AKU24" s="5"/>
      <c r="AKV24" s="5"/>
      <c r="AKW24" s="5"/>
      <c r="AKX24" s="5"/>
      <c r="AKY24" s="5"/>
      <c r="AKZ24" s="5"/>
      <c r="ALA24" s="5"/>
      <c r="ALB24" s="5"/>
      <c r="ALC24" s="5"/>
      <c r="ALD24" s="5"/>
      <c r="ALE24" s="5"/>
      <c r="ALF24" s="5"/>
      <c r="ALG24" s="5"/>
      <c r="ALH24" s="5"/>
      <c r="ALI24" s="5"/>
      <c r="ALJ24" s="5"/>
      <c r="ALK24" s="5"/>
      <c r="ALL24" s="5"/>
      <c r="ALM24" s="5"/>
      <c r="ALN24" s="5"/>
      <c r="ALO24" s="5"/>
      <c r="ALP24" s="5"/>
      <c r="ALQ24" s="5"/>
      <c r="ALR24" s="5"/>
      <c r="ALS24" s="5"/>
      <c r="ALT24" s="5"/>
      <c r="ALU24" s="5"/>
      <c r="ALV24" s="5"/>
      <c r="ALW24" s="5"/>
      <c r="ALX24" s="5"/>
      <c r="ALY24" s="5"/>
      <c r="ALZ24" s="5"/>
      <c r="AMA24" s="5"/>
      <c r="AMB24" s="5"/>
      <c r="AMC24" s="5"/>
      <c r="AMD24" s="5"/>
      <c r="AME24" s="5"/>
      <c r="AMF24" s="5"/>
    </row>
    <row r="25" spans="1:1020" s="8" customFormat="1" x14ac:dyDescent="0.2">
      <c r="A25" s="11" t="s">
        <v>107</v>
      </c>
      <c r="B25" s="11" t="s">
        <v>81</v>
      </c>
      <c r="C25" s="11" t="s">
        <v>25</v>
      </c>
      <c r="D25" s="11" t="s">
        <v>28</v>
      </c>
      <c r="E25" s="5">
        <v>5</v>
      </c>
      <c r="F25" s="11" t="s">
        <v>30</v>
      </c>
      <c r="G25" s="11" t="s">
        <v>100</v>
      </c>
      <c r="H25" s="11" t="s">
        <v>100</v>
      </c>
      <c r="I25" s="5" t="s">
        <v>108</v>
      </c>
      <c r="J25" s="5" t="s">
        <v>109</v>
      </c>
      <c r="K25" s="11">
        <v>2</v>
      </c>
      <c r="L25" s="11" t="s">
        <v>91</v>
      </c>
      <c r="M25" s="5"/>
      <c r="N25" s="5"/>
      <c r="O25" s="5" t="str">
        <f>"Opn4_bulkRNAseq/"&amp;A25&amp;"/outputs/40hisat2_mm38_100/mm38_100_genome-paired_gene_sreverse_gene_ID.count.xz"</f>
        <v>Opn4_bulkRNAseq/S2_Het_SCN_S6/outputs/40hisat2_mm38_100/mm38_100_genome-paired_gene_sreverse_gene_ID.count.xz</v>
      </c>
      <c r="P25" s="1" t="str">
        <f>"Opn4_bulkRNAseq/"&amp;A25&amp;"/outputs/45salmon_mm38_100/quant.sf"</f>
        <v>Opn4_bulkRNAseq/S2_Het_SCN_S6/outputs/45salmon_mm38_100/quant.sf</v>
      </c>
      <c r="Q25" s="5">
        <v>24130637</v>
      </c>
      <c r="R25" s="5">
        <v>22492964</v>
      </c>
      <c r="S25" s="6">
        <f t="shared" si="4"/>
        <v>0.93213303900763167</v>
      </c>
      <c r="T25" s="5">
        <v>629934</v>
      </c>
      <c r="U25" s="5">
        <v>492339</v>
      </c>
      <c r="V25" s="5">
        <v>515400</v>
      </c>
      <c r="W25" s="5"/>
      <c r="X25" s="5"/>
      <c r="Y25" s="7">
        <f t="shared" si="3"/>
        <v>0</v>
      </c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  <c r="SL25" s="5"/>
      <c r="SM25" s="5"/>
      <c r="SN25" s="5"/>
      <c r="SO25" s="5"/>
      <c r="SP25" s="5"/>
      <c r="SQ25" s="5"/>
      <c r="SR25" s="5"/>
      <c r="SS25" s="5"/>
      <c r="ST25" s="5"/>
      <c r="SU25" s="5"/>
      <c r="SV25" s="5"/>
      <c r="SW25" s="5"/>
      <c r="SX25" s="5"/>
      <c r="SY25" s="5"/>
      <c r="SZ25" s="5"/>
      <c r="TA25" s="5"/>
      <c r="TB25" s="5"/>
      <c r="TC25" s="5"/>
      <c r="TD25" s="5"/>
      <c r="TE25" s="5"/>
      <c r="TF25" s="5"/>
      <c r="TG25" s="5"/>
      <c r="TH25" s="5"/>
      <c r="TI25" s="5"/>
      <c r="TJ25" s="5"/>
      <c r="TK25" s="5"/>
      <c r="TL25" s="5"/>
      <c r="TM25" s="5"/>
      <c r="TN25" s="5"/>
      <c r="TO25" s="5"/>
      <c r="TP25" s="5"/>
      <c r="TQ25" s="5"/>
      <c r="TR25" s="5"/>
      <c r="TS25" s="5"/>
      <c r="TT25" s="5"/>
      <c r="TU25" s="5"/>
      <c r="TV25" s="5"/>
      <c r="TW25" s="5"/>
      <c r="TX25" s="5"/>
      <c r="TY25" s="5"/>
      <c r="TZ25" s="5"/>
      <c r="UA25" s="5"/>
      <c r="UB25" s="5"/>
      <c r="UC25" s="5"/>
      <c r="UD25" s="5"/>
      <c r="UE25" s="5"/>
      <c r="UF25" s="5"/>
      <c r="UG25" s="5"/>
      <c r="UH25" s="5"/>
      <c r="UI25" s="5"/>
      <c r="UJ25" s="5"/>
      <c r="UK25" s="5"/>
      <c r="UL25" s="5"/>
      <c r="UM25" s="5"/>
      <c r="UN25" s="5"/>
      <c r="UO25" s="5"/>
      <c r="UP25" s="5"/>
      <c r="UQ25" s="5"/>
      <c r="UR25" s="5"/>
      <c r="US25" s="5"/>
      <c r="UT25" s="5"/>
      <c r="UU25" s="5"/>
      <c r="UV25" s="5"/>
      <c r="UW25" s="5"/>
      <c r="UX25" s="5"/>
      <c r="UY25" s="5"/>
      <c r="UZ25" s="5"/>
      <c r="VA25" s="5"/>
      <c r="VB25" s="5"/>
      <c r="VC25" s="5"/>
      <c r="VD25" s="5"/>
      <c r="VE25" s="5"/>
      <c r="VF25" s="5"/>
      <c r="VG25" s="5"/>
      <c r="VH25" s="5"/>
      <c r="VI25" s="5"/>
      <c r="VJ25" s="5"/>
      <c r="VK25" s="5"/>
      <c r="VL25" s="5"/>
      <c r="VM25" s="5"/>
      <c r="VN25" s="5"/>
      <c r="VO25" s="5"/>
      <c r="VP25" s="5"/>
      <c r="VQ25" s="5"/>
      <c r="VR25" s="5"/>
      <c r="VS25" s="5"/>
      <c r="VT25" s="5"/>
      <c r="VU25" s="5"/>
      <c r="VV25" s="5"/>
      <c r="VW25" s="5"/>
      <c r="VX25" s="5"/>
      <c r="VY25" s="5"/>
      <c r="VZ25" s="5"/>
      <c r="WA25" s="5"/>
      <c r="WB25" s="5"/>
      <c r="WC25" s="5"/>
      <c r="WD25" s="5"/>
      <c r="WE25" s="5"/>
      <c r="WF25" s="5"/>
      <c r="WG25" s="5"/>
      <c r="WH25" s="5"/>
      <c r="WI25" s="5"/>
      <c r="WJ25" s="5"/>
      <c r="WK25" s="5"/>
      <c r="WL25" s="5"/>
      <c r="WM25" s="5"/>
      <c r="WN25" s="5"/>
      <c r="WO25" s="5"/>
      <c r="WP25" s="5"/>
      <c r="WQ25" s="5"/>
      <c r="WR25" s="5"/>
      <c r="WS25" s="5"/>
      <c r="WT25" s="5"/>
      <c r="WU25" s="5"/>
      <c r="WV25" s="5"/>
      <c r="WW25" s="5"/>
      <c r="WX25" s="5"/>
      <c r="WY25" s="5"/>
      <c r="WZ25" s="5"/>
      <c r="XA25" s="5"/>
      <c r="XB25" s="5"/>
      <c r="XC25" s="5"/>
      <c r="XD25" s="5"/>
      <c r="XE25" s="5"/>
      <c r="XF25" s="5"/>
      <c r="XG25" s="5"/>
      <c r="XH25" s="5"/>
      <c r="XI25" s="5"/>
      <c r="XJ25" s="5"/>
      <c r="XK25" s="5"/>
      <c r="XL25" s="5"/>
      <c r="XM25" s="5"/>
      <c r="XN25" s="5"/>
      <c r="XO25" s="5"/>
      <c r="XP25" s="5"/>
      <c r="XQ25" s="5"/>
      <c r="XR25" s="5"/>
      <c r="XS25" s="5"/>
      <c r="XT25" s="5"/>
      <c r="XU25" s="5"/>
      <c r="XV25" s="5"/>
      <c r="XW25" s="5"/>
      <c r="XX25" s="5"/>
      <c r="XY25" s="5"/>
      <c r="XZ25" s="5"/>
      <c r="YA25" s="5"/>
      <c r="YB25" s="5"/>
      <c r="YC25" s="5"/>
      <c r="YD25" s="5"/>
      <c r="YE25" s="5"/>
      <c r="YF25" s="5"/>
      <c r="YG25" s="5"/>
      <c r="YH25" s="5"/>
      <c r="YI25" s="5"/>
      <c r="YJ25" s="5"/>
      <c r="YK25" s="5"/>
      <c r="YL25" s="5"/>
      <c r="YM25" s="5"/>
      <c r="YN25" s="5"/>
      <c r="YO25" s="5"/>
      <c r="YP25" s="5"/>
      <c r="YQ25" s="5"/>
      <c r="YR25" s="5"/>
      <c r="YS25" s="5"/>
      <c r="YT25" s="5"/>
      <c r="YU25" s="5"/>
      <c r="YV25" s="5"/>
      <c r="YW25" s="5"/>
      <c r="YX25" s="5"/>
      <c r="YY25" s="5"/>
      <c r="YZ25" s="5"/>
      <c r="ZA25" s="5"/>
      <c r="ZB25" s="5"/>
      <c r="ZC25" s="5"/>
      <c r="ZD25" s="5"/>
      <c r="ZE25" s="5"/>
      <c r="ZF25" s="5"/>
      <c r="ZG25" s="5"/>
      <c r="ZH25" s="5"/>
      <c r="ZI25" s="5"/>
      <c r="ZJ25" s="5"/>
      <c r="ZK25" s="5"/>
      <c r="ZL25" s="5"/>
      <c r="ZM25" s="5"/>
      <c r="ZN25" s="5"/>
      <c r="ZO25" s="5"/>
      <c r="ZP25" s="5"/>
      <c r="ZQ25" s="5"/>
      <c r="ZR25" s="5"/>
      <c r="ZS25" s="5"/>
      <c r="ZT25" s="5"/>
      <c r="ZU25" s="5"/>
      <c r="ZV25" s="5"/>
      <c r="ZW25" s="5"/>
      <c r="ZX25" s="5"/>
      <c r="ZY25" s="5"/>
      <c r="ZZ25" s="5"/>
      <c r="AAA25" s="5"/>
      <c r="AAB25" s="5"/>
      <c r="AAC25" s="5"/>
      <c r="AAD25" s="5"/>
      <c r="AAE25" s="5"/>
      <c r="AAF25" s="5"/>
      <c r="AAG25" s="5"/>
      <c r="AAH25" s="5"/>
      <c r="AAI25" s="5"/>
      <c r="AAJ25" s="5"/>
      <c r="AAK25" s="5"/>
      <c r="AAL25" s="5"/>
      <c r="AAM25" s="5"/>
      <c r="AAN25" s="5"/>
      <c r="AAO25" s="5"/>
      <c r="AAP25" s="5"/>
      <c r="AAQ25" s="5"/>
      <c r="AAR25" s="5"/>
      <c r="AAS25" s="5"/>
      <c r="AAT25" s="5"/>
      <c r="AAU25" s="5"/>
      <c r="AAV25" s="5"/>
      <c r="AAW25" s="5"/>
      <c r="AAX25" s="5"/>
      <c r="AAY25" s="5"/>
      <c r="AAZ25" s="5"/>
      <c r="ABA25" s="5"/>
      <c r="ABB25" s="5"/>
      <c r="ABC25" s="5"/>
      <c r="ABD25" s="5"/>
      <c r="ABE25" s="5"/>
      <c r="ABF25" s="5"/>
      <c r="ABG25" s="5"/>
      <c r="ABH25" s="5"/>
      <c r="ABI25" s="5"/>
      <c r="ABJ25" s="5"/>
      <c r="ABK25" s="5"/>
      <c r="ABL25" s="5"/>
      <c r="ABM25" s="5"/>
      <c r="ABN25" s="5"/>
      <c r="ABO25" s="5"/>
      <c r="ABP25" s="5"/>
      <c r="ABQ25" s="5"/>
      <c r="ABR25" s="5"/>
      <c r="ABS25" s="5"/>
      <c r="ABT25" s="5"/>
      <c r="ABU25" s="5"/>
      <c r="ABV25" s="5"/>
      <c r="ABW25" s="5"/>
      <c r="ABX25" s="5"/>
      <c r="ABY25" s="5"/>
      <c r="ABZ25" s="5"/>
      <c r="ACA25" s="5"/>
      <c r="ACB25" s="5"/>
      <c r="ACC25" s="5"/>
      <c r="ACD25" s="5"/>
      <c r="ACE25" s="5"/>
      <c r="ACF25" s="5"/>
      <c r="ACG25" s="5"/>
      <c r="ACH25" s="5"/>
      <c r="ACI25" s="5"/>
      <c r="ACJ25" s="5"/>
      <c r="ACK25" s="5"/>
      <c r="ACL25" s="5"/>
      <c r="ACM25" s="5"/>
      <c r="ACN25" s="5"/>
      <c r="ACO25" s="5"/>
      <c r="ACP25" s="5"/>
      <c r="ACQ25" s="5"/>
      <c r="ACR25" s="5"/>
      <c r="ACS25" s="5"/>
      <c r="ACT25" s="5"/>
      <c r="ACU25" s="5"/>
      <c r="ACV25" s="5"/>
      <c r="ACW25" s="5"/>
      <c r="ACX25" s="5"/>
      <c r="ACY25" s="5"/>
      <c r="ACZ25" s="5"/>
      <c r="ADA25" s="5"/>
      <c r="ADB25" s="5"/>
      <c r="ADC25" s="5"/>
      <c r="ADD25" s="5"/>
      <c r="ADE25" s="5"/>
      <c r="ADF25" s="5"/>
      <c r="ADG25" s="5"/>
      <c r="ADH25" s="5"/>
      <c r="ADI25" s="5"/>
      <c r="ADJ25" s="5"/>
      <c r="ADK25" s="5"/>
      <c r="ADL25" s="5"/>
      <c r="ADM25" s="5"/>
      <c r="ADN25" s="5"/>
      <c r="ADO25" s="5"/>
      <c r="ADP25" s="5"/>
      <c r="ADQ25" s="5"/>
      <c r="ADR25" s="5"/>
      <c r="ADS25" s="5"/>
      <c r="ADT25" s="5"/>
      <c r="ADU25" s="5"/>
      <c r="ADV25" s="5"/>
      <c r="ADW25" s="5"/>
      <c r="ADX25" s="5"/>
      <c r="ADY25" s="5"/>
      <c r="ADZ25" s="5"/>
      <c r="AEA25" s="5"/>
      <c r="AEB25" s="5"/>
      <c r="AEC25" s="5"/>
      <c r="AED25" s="5"/>
      <c r="AEE25" s="5"/>
      <c r="AEF25" s="5"/>
      <c r="AEG25" s="5"/>
      <c r="AEH25" s="5"/>
      <c r="AEI25" s="5"/>
      <c r="AEJ25" s="5"/>
      <c r="AEK25" s="5"/>
      <c r="AEL25" s="5"/>
      <c r="AEM25" s="5"/>
      <c r="AEN25" s="5"/>
      <c r="AEO25" s="5"/>
      <c r="AEP25" s="5"/>
      <c r="AEQ25" s="5"/>
      <c r="AER25" s="5"/>
      <c r="AES25" s="5"/>
      <c r="AET25" s="5"/>
      <c r="AEU25" s="5"/>
      <c r="AEV25" s="5"/>
      <c r="AEW25" s="5"/>
      <c r="AEX25" s="5"/>
      <c r="AEY25" s="5"/>
      <c r="AEZ25" s="5"/>
      <c r="AFA25" s="5"/>
      <c r="AFB25" s="5"/>
      <c r="AFC25" s="5"/>
      <c r="AFD25" s="5"/>
      <c r="AFE25" s="5"/>
      <c r="AFF25" s="5"/>
      <c r="AFG25" s="5"/>
      <c r="AFH25" s="5"/>
      <c r="AFI25" s="5"/>
      <c r="AFJ25" s="5"/>
      <c r="AFK25" s="5"/>
      <c r="AFL25" s="5"/>
      <c r="AFM25" s="5"/>
      <c r="AFN25" s="5"/>
      <c r="AFO25" s="5"/>
      <c r="AFP25" s="5"/>
      <c r="AFQ25" s="5"/>
      <c r="AFR25" s="5"/>
      <c r="AFS25" s="5"/>
      <c r="AFT25" s="5"/>
      <c r="AFU25" s="5"/>
      <c r="AFV25" s="5"/>
      <c r="AFW25" s="5"/>
      <c r="AFX25" s="5"/>
      <c r="AFY25" s="5"/>
      <c r="AFZ25" s="5"/>
      <c r="AGA25" s="5"/>
      <c r="AGB25" s="5"/>
      <c r="AGC25" s="5"/>
      <c r="AGD25" s="5"/>
      <c r="AGE25" s="5"/>
      <c r="AGF25" s="5"/>
      <c r="AGG25" s="5"/>
      <c r="AGH25" s="5"/>
      <c r="AGI25" s="5"/>
      <c r="AGJ25" s="5"/>
      <c r="AGK25" s="5"/>
      <c r="AGL25" s="5"/>
      <c r="AGM25" s="5"/>
      <c r="AGN25" s="5"/>
      <c r="AGO25" s="5"/>
      <c r="AGP25" s="5"/>
      <c r="AGQ25" s="5"/>
      <c r="AGR25" s="5"/>
      <c r="AGS25" s="5"/>
      <c r="AGT25" s="5"/>
      <c r="AGU25" s="5"/>
      <c r="AGV25" s="5"/>
      <c r="AGW25" s="5"/>
      <c r="AGX25" s="5"/>
      <c r="AGY25" s="5"/>
      <c r="AGZ25" s="5"/>
      <c r="AHA25" s="5"/>
      <c r="AHB25" s="5"/>
      <c r="AHC25" s="5"/>
      <c r="AHD25" s="5"/>
      <c r="AHE25" s="5"/>
      <c r="AHF25" s="5"/>
      <c r="AHG25" s="5"/>
      <c r="AHH25" s="5"/>
      <c r="AHI25" s="5"/>
      <c r="AHJ25" s="5"/>
      <c r="AHK25" s="5"/>
      <c r="AHL25" s="5"/>
      <c r="AHM25" s="5"/>
      <c r="AHN25" s="5"/>
      <c r="AHO25" s="5"/>
      <c r="AHP25" s="5"/>
      <c r="AHQ25" s="5"/>
      <c r="AHR25" s="5"/>
      <c r="AHS25" s="5"/>
      <c r="AHT25" s="5"/>
      <c r="AHU25" s="5"/>
      <c r="AHV25" s="5"/>
      <c r="AHW25" s="5"/>
      <c r="AHX25" s="5"/>
      <c r="AHY25" s="5"/>
      <c r="AHZ25" s="5"/>
      <c r="AIA25" s="5"/>
      <c r="AIB25" s="5"/>
      <c r="AIC25" s="5"/>
      <c r="AID25" s="5"/>
      <c r="AIE25" s="5"/>
      <c r="AIF25" s="5"/>
      <c r="AIG25" s="5"/>
      <c r="AIH25" s="5"/>
      <c r="AII25" s="5"/>
      <c r="AIJ25" s="5"/>
      <c r="AIK25" s="5"/>
      <c r="AIL25" s="5"/>
      <c r="AIM25" s="5"/>
      <c r="AIN25" s="5"/>
      <c r="AIO25" s="5"/>
      <c r="AIP25" s="5"/>
      <c r="AIQ25" s="5"/>
      <c r="AIR25" s="5"/>
      <c r="AIS25" s="5"/>
      <c r="AIT25" s="5"/>
      <c r="AIU25" s="5"/>
      <c r="AIV25" s="5"/>
      <c r="AIW25" s="5"/>
      <c r="AIX25" s="5"/>
      <c r="AIY25" s="5"/>
      <c r="AIZ25" s="5"/>
      <c r="AJA25" s="5"/>
      <c r="AJB25" s="5"/>
      <c r="AJC25" s="5"/>
      <c r="AJD25" s="5"/>
      <c r="AJE25" s="5"/>
      <c r="AJF25" s="5"/>
      <c r="AJG25" s="5"/>
      <c r="AJH25" s="5"/>
      <c r="AJI25" s="5"/>
      <c r="AJJ25" s="5"/>
      <c r="AJK25" s="5"/>
      <c r="AJL25" s="5"/>
      <c r="AJM25" s="5"/>
      <c r="AJN25" s="5"/>
      <c r="AJO25" s="5"/>
      <c r="AJP25" s="5"/>
      <c r="AJQ25" s="5"/>
      <c r="AJR25" s="5"/>
      <c r="AJS25" s="5"/>
      <c r="AJT25" s="5"/>
      <c r="AJU25" s="5"/>
      <c r="AJV25" s="5"/>
      <c r="AJW25" s="5"/>
      <c r="AJX25" s="5"/>
      <c r="AJY25" s="5"/>
      <c r="AJZ25" s="5"/>
      <c r="AKA25" s="5"/>
      <c r="AKB25" s="5"/>
      <c r="AKC25" s="5"/>
      <c r="AKD25" s="5"/>
      <c r="AKE25" s="5"/>
      <c r="AKF25" s="5"/>
      <c r="AKG25" s="5"/>
      <c r="AKH25" s="5"/>
      <c r="AKI25" s="5"/>
      <c r="AKJ25" s="5"/>
      <c r="AKK25" s="5"/>
      <c r="AKL25" s="5"/>
      <c r="AKM25" s="5"/>
      <c r="AKN25" s="5"/>
      <c r="AKO25" s="5"/>
      <c r="AKP25" s="5"/>
      <c r="AKQ25" s="5"/>
      <c r="AKR25" s="5"/>
      <c r="AKS25" s="5"/>
      <c r="AKT25" s="5"/>
      <c r="AKU25" s="5"/>
      <c r="AKV25" s="5"/>
      <c r="AKW25" s="5"/>
      <c r="AKX25" s="5"/>
      <c r="AKY25" s="5"/>
      <c r="AKZ25" s="5"/>
      <c r="ALA25" s="5"/>
      <c r="ALB25" s="5"/>
      <c r="ALC25" s="5"/>
      <c r="ALD25" s="5"/>
      <c r="ALE25" s="5"/>
      <c r="ALF25" s="5"/>
      <c r="ALG25" s="5"/>
      <c r="ALH25" s="5"/>
      <c r="ALI25" s="5"/>
      <c r="ALJ25" s="5"/>
      <c r="ALK25" s="5"/>
      <c r="ALL25" s="5"/>
      <c r="ALM25" s="5"/>
      <c r="ALN25" s="5"/>
      <c r="ALO25" s="5"/>
      <c r="ALP25" s="5"/>
      <c r="ALQ25" s="5"/>
      <c r="ALR25" s="5"/>
      <c r="ALS25" s="5"/>
      <c r="ALT25" s="5"/>
      <c r="ALU25" s="5"/>
      <c r="ALV25" s="5"/>
      <c r="ALW25" s="5"/>
      <c r="ALX25" s="5"/>
      <c r="ALY25" s="5"/>
      <c r="ALZ25" s="5"/>
      <c r="AMA25" s="5"/>
      <c r="AMB25" s="5"/>
      <c r="AMC25" s="5"/>
      <c r="AMD25" s="5"/>
      <c r="AME25" s="5"/>
      <c r="AMF25" s="5"/>
    </row>
    <row r="26" spans="1:1020" s="8" customFormat="1" x14ac:dyDescent="0.2">
      <c r="A26" s="11" t="s">
        <v>110</v>
      </c>
      <c r="B26" s="11" t="s">
        <v>68</v>
      </c>
      <c r="C26" s="11" t="s">
        <v>25</v>
      </c>
      <c r="D26" s="11" t="s">
        <v>29</v>
      </c>
      <c r="E26" s="5">
        <v>6</v>
      </c>
      <c r="F26" s="11" t="s">
        <v>30</v>
      </c>
      <c r="G26" s="11" t="s">
        <v>92</v>
      </c>
      <c r="H26" s="11" t="s">
        <v>92</v>
      </c>
      <c r="I26" s="5" t="s">
        <v>111</v>
      </c>
      <c r="J26" s="5" t="s">
        <v>112</v>
      </c>
      <c r="K26" s="11">
        <v>2</v>
      </c>
      <c r="L26" s="11" t="s">
        <v>91</v>
      </c>
      <c r="M26" s="5"/>
      <c r="N26" s="5"/>
      <c r="O26" s="5" t="str">
        <f>"Opn4_bulkRNAseq/"&amp;A26&amp;"/outputs/40hisat2_mm38_100/mm38_100_genome-paired_gene_sreverse_gene_ID.count.xz"</f>
        <v>Opn4_bulkRNAseq/S3_Het_Ret_S7/outputs/40hisat2_mm38_100/mm38_100_genome-paired_gene_sreverse_gene_ID.count.xz</v>
      </c>
      <c r="P26" s="1" t="str">
        <f>"Opn4_bulkRNAseq/"&amp;A26&amp;"/outputs/45salmon_mm38_100/quant.sf"</f>
        <v>Opn4_bulkRNAseq/S3_Het_Ret_S7/outputs/45salmon_mm38_100/quant.sf</v>
      </c>
      <c r="Q26" s="5">
        <v>21025732</v>
      </c>
      <c r="R26" s="5">
        <v>19651053</v>
      </c>
      <c r="S26" s="6">
        <f>R26/Q26</f>
        <v>0.93461920850127833</v>
      </c>
      <c r="T26" s="5">
        <v>565608</v>
      </c>
      <c r="U26" s="5">
        <v>435870</v>
      </c>
      <c r="V26" s="5">
        <v>373201</v>
      </c>
      <c r="W26" s="5"/>
      <c r="X26" s="5"/>
      <c r="Y26" s="7">
        <f t="shared" si="3"/>
        <v>0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  <c r="KK26" s="5"/>
      <c r="KL26" s="5"/>
      <c r="KM26" s="5"/>
      <c r="KN26" s="5"/>
      <c r="KO26" s="5"/>
      <c r="KP26" s="5"/>
      <c r="KQ26" s="5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  <c r="LZ26" s="5"/>
      <c r="MA26" s="5"/>
      <c r="MB26" s="5"/>
      <c r="MC26" s="5"/>
      <c r="MD26" s="5"/>
      <c r="ME26" s="5"/>
      <c r="MF26" s="5"/>
      <c r="MG26" s="5"/>
      <c r="MH26" s="5"/>
      <c r="MI26" s="5"/>
      <c r="MJ26" s="5"/>
      <c r="MK26" s="5"/>
      <c r="ML26" s="5"/>
      <c r="MM26" s="5"/>
      <c r="MN26" s="5"/>
      <c r="MO26" s="5"/>
      <c r="MP26" s="5"/>
      <c r="MQ26" s="5"/>
      <c r="MR26" s="5"/>
      <c r="MS26" s="5"/>
      <c r="MT26" s="5"/>
      <c r="MU26" s="5"/>
      <c r="MV26" s="5"/>
      <c r="MW26" s="5"/>
      <c r="MX26" s="5"/>
      <c r="MY26" s="5"/>
      <c r="MZ26" s="5"/>
      <c r="NA26" s="5"/>
      <c r="NB26" s="5"/>
      <c r="NC26" s="5"/>
      <c r="ND26" s="5"/>
      <c r="NE26" s="5"/>
      <c r="NF26" s="5"/>
      <c r="NG26" s="5"/>
      <c r="NH26" s="5"/>
      <c r="NI26" s="5"/>
      <c r="NJ26" s="5"/>
      <c r="NK26" s="5"/>
      <c r="NL26" s="5"/>
      <c r="NM26" s="5"/>
      <c r="NN26" s="5"/>
      <c r="NO26" s="5"/>
      <c r="NP26" s="5"/>
      <c r="NQ26" s="5"/>
      <c r="NR26" s="5"/>
      <c r="NS26" s="5"/>
      <c r="NT26" s="5"/>
      <c r="NU26" s="5"/>
      <c r="NV26" s="5"/>
      <c r="NW26" s="5"/>
      <c r="NX26" s="5"/>
      <c r="NY26" s="5"/>
      <c r="NZ26" s="5"/>
      <c r="OA26" s="5"/>
      <c r="OB26" s="5"/>
      <c r="OC26" s="5"/>
      <c r="OD26" s="5"/>
      <c r="OE26" s="5"/>
      <c r="OF26" s="5"/>
      <c r="OG26" s="5"/>
      <c r="OH26" s="5"/>
      <c r="OI26" s="5"/>
      <c r="OJ26" s="5"/>
      <c r="OK26" s="5"/>
      <c r="OL26" s="5"/>
      <c r="OM26" s="5"/>
      <c r="ON26" s="5"/>
      <c r="OO26" s="5"/>
      <c r="OP26" s="5"/>
      <c r="OQ26" s="5"/>
      <c r="OR26" s="5"/>
      <c r="OS26" s="5"/>
      <c r="OT26" s="5"/>
      <c r="OU26" s="5"/>
      <c r="OV26" s="5"/>
      <c r="OW26" s="5"/>
      <c r="OX26" s="5"/>
      <c r="OY26" s="5"/>
      <c r="OZ26" s="5"/>
      <c r="PA26" s="5"/>
      <c r="PB26" s="5"/>
      <c r="PC26" s="5"/>
      <c r="PD26" s="5"/>
      <c r="PE26" s="5"/>
      <c r="PF26" s="5"/>
      <c r="PG26" s="5"/>
      <c r="PH26" s="5"/>
      <c r="PI26" s="5"/>
      <c r="PJ26" s="5"/>
      <c r="PK26" s="5"/>
      <c r="PL26" s="5"/>
      <c r="PM26" s="5"/>
      <c r="PN26" s="5"/>
      <c r="PO26" s="5"/>
      <c r="PP26" s="5"/>
      <c r="PQ26" s="5"/>
      <c r="PR26" s="5"/>
      <c r="PS26" s="5"/>
      <c r="PT26" s="5"/>
      <c r="PU26" s="5"/>
      <c r="PV26" s="5"/>
      <c r="PW26" s="5"/>
      <c r="PX26" s="5"/>
      <c r="PY26" s="5"/>
      <c r="PZ26" s="5"/>
      <c r="QA26" s="5"/>
      <c r="QB26" s="5"/>
      <c r="QC26" s="5"/>
      <c r="QD26" s="5"/>
      <c r="QE26" s="5"/>
      <c r="QF26" s="5"/>
      <c r="QG26" s="5"/>
      <c r="QH26" s="5"/>
      <c r="QI26" s="5"/>
      <c r="QJ26" s="5"/>
      <c r="QK26" s="5"/>
      <c r="QL26" s="5"/>
      <c r="QM26" s="5"/>
      <c r="QN26" s="5"/>
      <c r="QO26" s="5"/>
      <c r="QP26" s="5"/>
      <c r="QQ26" s="5"/>
      <c r="QR26" s="5"/>
      <c r="QS26" s="5"/>
      <c r="QT26" s="5"/>
      <c r="QU26" s="5"/>
      <c r="QV26" s="5"/>
      <c r="QW26" s="5"/>
      <c r="QX26" s="5"/>
      <c r="QY26" s="5"/>
      <c r="QZ26" s="5"/>
      <c r="RA26" s="5"/>
      <c r="RB26" s="5"/>
      <c r="RC26" s="5"/>
      <c r="RD26" s="5"/>
      <c r="RE26" s="5"/>
      <c r="RF26" s="5"/>
      <c r="RG26" s="5"/>
      <c r="RH26" s="5"/>
      <c r="RI26" s="5"/>
      <c r="RJ26" s="5"/>
      <c r="RK26" s="5"/>
      <c r="RL26" s="5"/>
      <c r="RM26" s="5"/>
      <c r="RN26" s="5"/>
      <c r="RO26" s="5"/>
      <c r="RP26" s="5"/>
      <c r="RQ26" s="5"/>
      <c r="RR26" s="5"/>
      <c r="RS26" s="5"/>
      <c r="RT26" s="5"/>
      <c r="RU26" s="5"/>
      <c r="RV26" s="5"/>
      <c r="RW26" s="5"/>
      <c r="RX26" s="5"/>
      <c r="RY26" s="5"/>
      <c r="RZ26" s="5"/>
      <c r="SA26" s="5"/>
      <c r="SB26" s="5"/>
      <c r="SC26" s="5"/>
      <c r="SD26" s="5"/>
      <c r="SE26" s="5"/>
      <c r="SF26" s="5"/>
      <c r="SG26" s="5"/>
      <c r="SH26" s="5"/>
      <c r="SI26" s="5"/>
      <c r="SJ26" s="5"/>
      <c r="SK26" s="5"/>
      <c r="SL26" s="5"/>
      <c r="SM26" s="5"/>
      <c r="SN26" s="5"/>
      <c r="SO26" s="5"/>
      <c r="SP26" s="5"/>
      <c r="SQ26" s="5"/>
      <c r="SR26" s="5"/>
      <c r="SS26" s="5"/>
      <c r="ST26" s="5"/>
      <c r="SU26" s="5"/>
      <c r="SV26" s="5"/>
      <c r="SW26" s="5"/>
      <c r="SX26" s="5"/>
      <c r="SY26" s="5"/>
      <c r="SZ26" s="5"/>
      <c r="TA26" s="5"/>
      <c r="TB26" s="5"/>
      <c r="TC26" s="5"/>
      <c r="TD26" s="5"/>
      <c r="TE26" s="5"/>
      <c r="TF26" s="5"/>
      <c r="TG26" s="5"/>
      <c r="TH26" s="5"/>
      <c r="TI26" s="5"/>
      <c r="TJ26" s="5"/>
      <c r="TK26" s="5"/>
      <c r="TL26" s="5"/>
      <c r="TM26" s="5"/>
      <c r="TN26" s="5"/>
      <c r="TO26" s="5"/>
      <c r="TP26" s="5"/>
      <c r="TQ26" s="5"/>
      <c r="TR26" s="5"/>
      <c r="TS26" s="5"/>
      <c r="TT26" s="5"/>
      <c r="TU26" s="5"/>
      <c r="TV26" s="5"/>
      <c r="TW26" s="5"/>
      <c r="TX26" s="5"/>
      <c r="TY26" s="5"/>
      <c r="TZ26" s="5"/>
      <c r="UA26" s="5"/>
      <c r="UB26" s="5"/>
      <c r="UC26" s="5"/>
      <c r="UD26" s="5"/>
      <c r="UE26" s="5"/>
      <c r="UF26" s="5"/>
      <c r="UG26" s="5"/>
      <c r="UH26" s="5"/>
      <c r="UI26" s="5"/>
      <c r="UJ26" s="5"/>
      <c r="UK26" s="5"/>
      <c r="UL26" s="5"/>
      <c r="UM26" s="5"/>
      <c r="UN26" s="5"/>
      <c r="UO26" s="5"/>
      <c r="UP26" s="5"/>
      <c r="UQ26" s="5"/>
      <c r="UR26" s="5"/>
      <c r="US26" s="5"/>
      <c r="UT26" s="5"/>
      <c r="UU26" s="5"/>
      <c r="UV26" s="5"/>
      <c r="UW26" s="5"/>
      <c r="UX26" s="5"/>
      <c r="UY26" s="5"/>
      <c r="UZ26" s="5"/>
      <c r="VA26" s="5"/>
      <c r="VB26" s="5"/>
      <c r="VC26" s="5"/>
      <c r="VD26" s="5"/>
      <c r="VE26" s="5"/>
      <c r="VF26" s="5"/>
      <c r="VG26" s="5"/>
      <c r="VH26" s="5"/>
      <c r="VI26" s="5"/>
      <c r="VJ26" s="5"/>
      <c r="VK26" s="5"/>
      <c r="VL26" s="5"/>
      <c r="VM26" s="5"/>
      <c r="VN26" s="5"/>
      <c r="VO26" s="5"/>
      <c r="VP26" s="5"/>
      <c r="VQ26" s="5"/>
      <c r="VR26" s="5"/>
      <c r="VS26" s="5"/>
      <c r="VT26" s="5"/>
      <c r="VU26" s="5"/>
      <c r="VV26" s="5"/>
      <c r="VW26" s="5"/>
      <c r="VX26" s="5"/>
      <c r="VY26" s="5"/>
      <c r="VZ26" s="5"/>
      <c r="WA26" s="5"/>
      <c r="WB26" s="5"/>
      <c r="WC26" s="5"/>
      <c r="WD26" s="5"/>
      <c r="WE26" s="5"/>
      <c r="WF26" s="5"/>
      <c r="WG26" s="5"/>
      <c r="WH26" s="5"/>
      <c r="WI26" s="5"/>
      <c r="WJ26" s="5"/>
      <c r="WK26" s="5"/>
      <c r="WL26" s="5"/>
      <c r="WM26" s="5"/>
      <c r="WN26" s="5"/>
      <c r="WO26" s="5"/>
      <c r="WP26" s="5"/>
      <c r="WQ26" s="5"/>
      <c r="WR26" s="5"/>
      <c r="WS26" s="5"/>
      <c r="WT26" s="5"/>
      <c r="WU26" s="5"/>
      <c r="WV26" s="5"/>
      <c r="WW26" s="5"/>
      <c r="WX26" s="5"/>
      <c r="WY26" s="5"/>
      <c r="WZ26" s="5"/>
      <c r="XA26" s="5"/>
      <c r="XB26" s="5"/>
      <c r="XC26" s="5"/>
      <c r="XD26" s="5"/>
      <c r="XE26" s="5"/>
      <c r="XF26" s="5"/>
      <c r="XG26" s="5"/>
      <c r="XH26" s="5"/>
      <c r="XI26" s="5"/>
      <c r="XJ26" s="5"/>
      <c r="XK26" s="5"/>
      <c r="XL26" s="5"/>
      <c r="XM26" s="5"/>
      <c r="XN26" s="5"/>
      <c r="XO26" s="5"/>
      <c r="XP26" s="5"/>
      <c r="XQ26" s="5"/>
      <c r="XR26" s="5"/>
      <c r="XS26" s="5"/>
      <c r="XT26" s="5"/>
      <c r="XU26" s="5"/>
      <c r="XV26" s="5"/>
      <c r="XW26" s="5"/>
      <c r="XX26" s="5"/>
      <c r="XY26" s="5"/>
      <c r="XZ26" s="5"/>
      <c r="YA26" s="5"/>
      <c r="YB26" s="5"/>
      <c r="YC26" s="5"/>
      <c r="YD26" s="5"/>
      <c r="YE26" s="5"/>
      <c r="YF26" s="5"/>
      <c r="YG26" s="5"/>
      <c r="YH26" s="5"/>
      <c r="YI26" s="5"/>
      <c r="YJ26" s="5"/>
      <c r="YK26" s="5"/>
      <c r="YL26" s="5"/>
      <c r="YM26" s="5"/>
      <c r="YN26" s="5"/>
      <c r="YO26" s="5"/>
      <c r="YP26" s="5"/>
      <c r="YQ26" s="5"/>
      <c r="YR26" s="5"/>
      <c r="YS26" s="5"/>
      <c r="YT26" s="5"/>
      <c r="YU26" s="5"/>
      <c r="YV26" s="5"/>
      <c r="YW26" s="5"/>
      <c r="YX26" s="5"/>
      <c r="YY26" s="5"/>
      <c r="YZ26" s="5"/>
      <c r="ZA26" s="5"/>
      <c r="ZB26" s="5"/>
      <c r="ZC26" s="5"/>
      <c r="ZD26" s="5"/>
      <c r="ZE26" s="5"/>
      <c r="ZF26" s="5"/>
      <c r="ZG26" s="5"/>
      <c r="ZH26" s="5"/>
      <c r="ZI26" s="5"/>
      <c r="ZJ26" s="5"/>
      <c r="ZK26" s="5"/>
      <c r="ZL26" s="5"/>
      <c r="ZM26" s="5"/>
      <c r="ZN26" s="5"/>
      <c r="ZO26" s="5"/>
      <c r="ZP26" s="5"/>
      <c r="ZQ26" s="5"/>
      <c r="ZR26" s="5"/>
      <c r="ZS26" s="5"/>
      <c r="ZT26" s="5"/>
      <c r="ZU26" s="5"/>
      <c r="ZV26" s="5"/>
      <c r="ZW26" s="5"/>
      <c r="ZX26" s="5"/>
      <c r="ZY26" s="5"/>
      <c r="ZZ26" s="5"/>
      <c r="AAA26" s="5"/>
      <c r="AAB26" s="5"/>
      <c r="AAC26" s="5"/>
      <c r="AAD26" s="5"/>
      <c r="AAE26" s="5"/>
      <c r="AAF26" s="5"/>
      <c r="AAG26" s="5"/>
      <c r="AAH26" s="5"/>
      <c r="AAI26" s="5"/>
      <c r="AAJ26" s="5"/>
      <c r="AAK26" s="5"/>
      <c r="AAL26" s="5"/>
      <c r="AAM26" s="5"/>
      <c r="AAN26" s="5"/>
      <c r="AAO26" s="5"/>
      <c r="AAP26" s="5"/>
      <c r="AAQ26" s="5"/>
      <c r="AAR26" s="5"/>
      <c r="AAS26" s="5"/>
      <c r="AAT26" s="5"/>
      <c r="AAU26" s="5"/>
      <c r="AAV26" s="5"/>
      <c r="AAW26" s="5"/>
      <c r="AAX26" s="5"/>
      <c r="AAY26" s="5"/>
      <c r="AAZ26" s="5"/>
      <c r="ABA26" s="5"/>
      <c r="ABB26" s="5"/>
      <c r="ABC26" s="5"/>
      <c r="ABD26" s="5"/>
      <c r="ABE26" s="5"/>
      <c r="ABF26" s="5"/>
      <c r="ABG26" s="5"/>
      <c r="ABH26" s="5"/>
      <c r="ABI26" s="5"/>
      <c r="ABJ26" s="5"/>
      <c r="ABK26" s="5"/>
      <c r="ABL26" s="5"/>
      <c r="ABM26" s="5"/>
      <c r="ABN26" s="5"/>
      <c r="ABO26" s="5"/>
      <c r="ABP26" s="5"/>
      <c r="ABQ26" s="5"/>
      <c r="ABR26" s="5"/>
      <c r="ABS26" s="5"/>
      <c r="ABT26" s="5"/>
      <c r="ABU26" s="5"/>
      <c r="ABV26" s="5"/>
      <c r="ABW26" s="5"/>
      <c r="ABX26" s="5"/>
      <c r="ABY26" s="5"/>
      <c r="ABZ26" s="5"/>
      <c r="ACA26" s="5"/>
      <c r="ACB26" s="5"/>
      <c r="ACC26" s="5"/>
      <c r="ACD26" s="5"/>
      <c r="ACE26" s="5"/>
      <c r="ACF26" s="5"/>
      <c r="ACG26" s="5"/>
      <c r="ACH26" s="5"/>
      <c r="ACI26" s="5"/>
      <c r="ACJ26" s="5"/>
      <c r="ACK26" s="5"/>
      <c r="ACL26" s="5"/>
      <c r="ACM26" s="5"/>
      <c r="ACN26" s="5"/>
      <c r="ACO26" s="5"/>
      <c r="ACP26" s="5"/>
      <c r="ACQ26" s="5"/>
      <c r="ACR26" s="5"/>
      <c r="ACS26" s="5"/>
      <c r="ACT26" s="5"/>
      <c r="ACU26" s="5"/>
      <c r="ACV26" s="5"/>
      <c r="ACW26" s="5"/>
      <c r="ACX26" s="5"/>
      <c r="ACY26" s="5"/>
      <c r="ACZ26" s="5"/>
      <c r="ADA26" s="5"/>
      <c r="ADB26" s="5"/>
      <c r="ADC26" s="5"/>
      <c r="ADD26" s="5"/>
      <c r="ADE26" s="5"/>
      <c r="ADF26" s="5"/>
      <c r="ADG26" s="5"/>
      <c r="ADH26" s="5"/>
      <c r="ADI26" s="5"/>
      <c r="ADJ26" s="5"/>
      <c r="ADK26" s="5"/>
      <c r="ADL26" s="5"/>
      <c r="ADM26" s="5"/>
      <c r="ADN26" s="5"/>
      <c r="ADO26" s="5"/>
      <c r="ADP26" s="5"/>
      <c r="ADQ26" s="5"/>
      <c r="ADR26" s="5"/>
      <c r="ADS26" s="5"/>
      <c r="ADT26" s="5"/>
      <c r="ADU26" s="5"/>
      <c r="ADV26" s="5"/>
      <c r="ADW26" s="5"/>
      <c r="ADX26" s="5"/>
      <c r="ADY26" s="5"/>
      <c r="ADZ26" s="5"/>
      <c r="AEA26" s="5"/>
      <c r="AEB26" s="5"/>
      <c r="AEC26" s="5"/>
      <c r="AED26" s="5"/>
      <c r="AEE26" s="5"/>
      <c r="AEF26" s="5"/>
      <c r="AEG26" s="5"/>
      <c r="AEH26" s="5"/>
      <c r="AEI26" s="5"/>
      <c r="AEJ26" s="5"/>
      <c r="AEK26" s="5"/>
      <c r="AEL26" s="5"/>
      <c r="AEM26" s="5"/>
      <c r="AEN26" s="5"/>
      <c r="AEO26" s="5"/>
      <c r="AEP26" s="5"/>
      <c r="AEQ26" s="5"/>
      <c r="AER26" s="5"/>
      <c r="AES26" s="5"/>
      <c r="AET26" s="5"/>
      <c r="AEU26" s="5"/>
      <c r="AEV26" s="5"/>
      <c r="AEW26" s="5"/>
      <c r="AEX26" s="5"/>
      <c r="AEY26" s="5"/>
      <c r="AEZ26" s="5"/>
      <c r="AFA26" s="5"/>
      <c r="AFB26" s="5"/>
      <c r="AFC26" s="5"/>
      <c r="AFD26" s="5"/>
      <c r="AFE26" s="5"/>
      <c r="AFF26" s="5"/>
      <c r="AFG26" s="5"/>
      <c r="AFH26" s="5"/>
      <c r="AFI26" s="5"/>
      <c r="AFJ26" s="5"/>
      <c r="AFK26" s="5"/>
      <c r="AFL26" s="5"/>
      <c r="AFM26" s="5"/>
      <c r="AFN26" s="5"/>
      <c r="AFO26" s="5"/>
      <c r="AFP26" s="5"/>
      <c r="AFQ26" s="5"/>
      <c r="AFR26" s="5"/>
      <c r="AFS26" s="5"/>
      <c r="AFT26" s="5"/>
      <c r="AFU26" s="5"/>
      <c r="AFV26" s="5"/>
      <c r="AFW26" s="5"/>
      <c r="AFX26" s="5"/>
      <c r="AFY26" s="5"/>
      <c r="AFZ26" s="5"/>
      <c r="AGA26" s="5"/>
      <c r="AGB26" s="5"/>
      <c r="AGC26" s="5"/>
      <c r="AGD26" s="5"/>
      <c r="AGE26" s="5"/>
      <c r="AGF26" s="5"/>
      <c r="AGG26" s="5"/>
      <c r="AGH26" s="5"/>
      <c r="AGI26" s="5"/>
      <c r="AGJ26" s="5"/>
      <c r="AGK26" s="5"/>
      <c r="AGL26" s="5"/>
      <c r="AGM26" s="5"/>
      <c r="AGN26" s="5"/>
      <c r="AGO26" s="5"/>
      <c r="AGP26" s="5"/>
      <c r="AGQ26" s="5"/>
      <c r="AGR26" s="5"/>
      <c r="AGS26" s="5"/>
      <c r="AGT26" s="5"/>
      <c r="AGU26" s="5"/>
      <c r="AGV26" s="5"/>
      <c r="AGW26" s="5"/>
      <c r="AGX26" s="5"/>
      <c r="AGY26" s="5"/>
      <c r="AGZ26" s="5"/>
      <c r="AHA26" s="5"/>
      <c r="AHB26" s="5"/>
      <c r="AHC26" s="5"/>
      <c r="AHD26" s="5"/>
      <c r="AHE26" s="5"/>
      <c r="AHF26" s="5"/>
      <c r="AHG26" s="5"/>
      <c r="AHH26" s="5"/>
      <c r="AHI26" s="5"/>
      <c r="AHJ26" s="5"/>
      <c r="AHK26" s="5"/>
      <c r="AHL26" s="5"/>
      <c r="AHM26" s="5"/>
      <c r="AHN26" s="5"/>
      <c r="AHO26" s="5"/>
      <c r="AHP26" s="5"/>
      <c r="AHQ26" s="5"/>
      <c r="AHR26" s="5"/>
      <c r="AHS26" s="5"/>
      <c r="AHT26" s="5"/>
      <c r="AHU26" s="5"/>
      <c r="AHV26" s="5"/>
      <c r="AHW26" s="5"/>
      <c r="AHX26" s="5"/>
      <c r="AHY26" s="5"/>
      <c r="AHZ26" s="5"/>
      <c r="AIA26" s="5"/>
      <c r="AIB26" s="5"/>
      <c r="AIC26" s="5"/>
      <c r="AID26" s="5"/>
      <c r="AIE26" s="5"/>
      <c r="AIF26" s="5"/>
      <c r="AIG26" s="5"/>
      <c r="AIH26" s="5"/>
      <c r="AII26" s="5"/>
      <c r="AIJ26" s="5"/>
      <c r="AIK26" s="5"/>
      <c r="AIL26" s="5"/>
      <c r="AIM26" s="5"/>
      <c r="AIN26" s="5"/>
      <c r="AIO26" s="5"/>
      <c r="AIP26" s="5"/>
      <c r="AIQ26" s="5"/>
      <c r="AIR26" s="5"/>
      <c r="AIS26" s="5"/>
      <c r="AIT26" s="5"/>
      <c r="AIU26" s="5"/>
      <c r="AIV26" s="5"/>
      <c r="AIW26" s="5"/>
      <c r="AIX26" s="5"/>
      <c r="AIY26" s="5"/>
      <c r="AIZ26" s="5"/>
      <c r="AJA26" s="5"/>
      <c r="AJB26" s="5"/>
      <c r="AJC26" s="5"/>
      <c r="AJD26" s="5"/>
      <c r="AJE26" s="5"/>
      <c r="AJF26" s="5"/>
      <c r="AJG26" s="5"/>
      <c r="AJH26" s="5"/>
      <c r="AJI26" s="5"/>
      <c r="AJJ26" s="5"/>
      <c r="AJK26" s="5"/>
      <c r="AJL26" s="5"/>
      <c r="AJM26" s="5"/>
      <c r="AJN26" s="5"/>
      <c r="AJO26" s="5"/>
      <c r="AJP26" s="5"/>
      <c r="AJQ26" s="5"/>
      <c r="AJR26" s="5"/>
      <c r="AJS26" s="5"/>
      <c r="AJT26" s="5"/>
      <c r="AJU26" s="5"/>
      <c r="AJV26" s="5"/>
      <c r="AJW26" s="5"/>
      <c r="AJX26" s="5"/>
      <c r="AJY26" s="5"/>
      <c r="AJZ26" s="5"/>
      <c r="AKA26" s="5"/>
      <c r="AKB26" s="5"/>
      <c r="AKC26" s="5"/>
      <c r="AKD26" s="5"/>
      <c r="AKE26" s="5"/>
      <c r="AKF26" s="5"/>
      <c r="AKG26" s="5"/>
      <c r="AKH26" s="5"/>
      <c r="AKI26" s="5"/>
      <c r="AKJ26" s="5"/>
      <c r="AKK26" s="5"/>
      <c r="AKL26" s="5"/>
      <c r="AKM26" s="5"/>
      <c r="AKN26" s="5"/>
      <c r="AKO26" s="5"/>
      <c r="AKP26" s="5"/>
      <c r="AKQ26" s="5"/>
      <c r="AKR26" s="5"/>
      <c r="AKS26" s="5"/>
      <c r="AKT26" s="5"/>
      <c r="AKU26" s="5"/>
      <c r="AKV26" s="5"/>
      <c r="AKW26" s="5"/>
      <c r="AKX26" s="5"/>
      <c r="AKY26" s="5"/>
      <c r="AKZ26" s="5"/>
      <c r="ALA26" s="5"/>
      <c r="ALB26" s="5"/>
      <c r="ALC26" s="5"/>
      <c r="ALD26" s="5"/>
      <c r="ALE26" s="5"/>
      <c r="ALF26" s="5"/>
      <c r="ALG26" s="5"/>
      <c r="ALH26" s="5"/>
      <c r="ALI26" s="5"/>
      <c r="ALJ26" s="5"/>
      <c r="ALK26" s="5"/>
      <c r="ALL26" s="5"/>
      <c r="ALM26" s="5"/>
      <c r="ALN26" s="5"/>
      <c r="ALO26" s="5"/>
      <c r="ALP26" s="5"/>
      <c r="ALQ26" s="5"/>
      <c r="ALR26" s="5"/>
      <c r="ALS26" s="5"/>
      <c r="ALT26" s="5"/>
      <c r="ALU26" s="5"/>
      <c r="ALV26" s="5"/>
      <c r="ALW26" s="5"/>
      <c r="ALX26" s="5"/>
      <c r="ALY26" s="5"/>
      <c r="ALZ26" s="5"/>
      <c r="AMA26" s="5"/>
      <c r="AMB26" s="5"/>
      <c r="AMC26" s="5"/>
      <c r="AMD26" s="5"/>
      <c r="AME26" s="5"/>
      <c r="AMF26" s="5"/>
    </row>
    <row r="27" spans="1:1020" s="8" customFormat="1" x14ac:dyDescent="0.2">
      <c r="A27" s="11" t="s">
        <v>113</v>
      </c>
      <c r="B27" s="11" t="s">
        <v>67</v>
      </c>
      <c r="C27" s="11" t="s">
        <v>25</v>
      </c>
      <c r="D27" s="11" t="s">
        <v>27</v>
      </c>
      <c r="E27" s="9">
        <v>6</v>
      </c>
      <c r="F27" s="11" t="s">
        <v>30</v>
      </c>
      <c r="G27" s="11" t="s">
        <v>96</v>
      </c>
      <c r="H27" s="11" t="s">
        <v>96</v>
      </c>
      <c r="I27" s="5" t="s">
        <v>114</v>
      </c>
      <c r="J27" s="5" t="s">
        <v>115</v>
      </c>
      <c r="K27" s="11">
        <v>2</v>
      </c>
      <c r="L27" s="11" t="s">
        <v>91</v>
      </c>
      <c r="M27" s="5"/>
      <c r="N27" s="5"/>
      <c r="O27" s="5" t="str">
        <f>"Opn4_bulkRNAseq/"&amp;A27&amp;"/outputs/40hisat2_mm38_100/mm38_100_genome-paired_gene_sreverse_gene_ID.count.xz"</f>
        <v>Opn4_bulkRNAseq/S3_Het_dLGN_S8/outputs/40hisat2_mm38_100/mm38_100_genome-paired_gene_sreverse_gene_ID.count.xz</v>
      </c>
      <c r="P27" s="1" t="str">
        <f>"Opn4_bulkRNAseq/"&amp;A27&amp;"/outputs/45salmon_mm38_100/quant.sf"</f>
        <v>Opn4_bulkRNAseq/S3_Het_dLGN_S8/outputs/45salmon_mm38_100/quant.sf</v>
      </c>
      <c r="Q27" s="5">
        <v>21264227</v>
      </c>
      <c r="R27" s="5">
        <v>19744244</v>
      </c>
      <c r="S27" s="6">
        <f t="shared" si="4"/>
        <v>0.9285192450212274</v>
      </c>
      <c r="T27" s="5">
        <v>517640</v>
      </c>
      <c r="U27" s="5">
        <v>513087</v>
      </c>
      <c r="V27" s="5">
        <v>489256</v>
      </c>
      <c r="W27" s="5"/>
      <c r="X27" s="5"/>
      <c r="Y27" s="7">
        <f t="shared" si="3"/>
        <v>0</v>
      </c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  <c r="KK27" s="5"/>
      <c r="KL27" s="5"/>
      <c r="KM27" s="5"/>
      <c r="KN27" s="5"/>
      <c r="KO27" s="5"/>
      <c r="KP27" s="5"/>
      <c r="KQ27" s="5"/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  <c r="LZ27" s="5"/>
      <c r="MA27" s="5"/>
      <c r="MB27" s="5"/>
      <c r="MC27" s="5"/>
      <c r="MD27" s="5"/>
      <c r="ME27" s="5"/>
      <c r="MF27" s="5"/>
      <c r="MG27" s="5"/>
      <c r="MH27" s="5"/>
      <c r="MI27" s="5"/>
      <c r="MJ27" s="5"/>
      <c r="MK27" s="5"/>
      <c r="ML27" s="5"/>
      <c r="MM27" s="5"/>
      <c r="MN27" s="5"/>
      <c r="MO27" s="5"/>
      <c r="MP27" s="5"/>
      <c r="MQ27" s="5"/>
      <c r="MR27" s="5"/>
      <c r="MS27" s="5"/>
      <c r="MT27" s="5"/>
      <c r="MU27" s="5"/>
      <c r="MV27" s="5"/>
      <c r="MW27" s="5"/>
      <c r="MX27" s="5"/>
      <c r="MY27" s="5"/>
      <c r="MZ27" s="5"/>
      <c r="NA27" s="5"/>
      <c r="NB27" s="5"/>
      <c r="NC27" s="5"/>
      <c r="ND27" s="5"/>
      <c r="NE27" s="5"/>
      <c r="NF27" s="5"/>
      <c r="NG27" s="5"/>
      <c r="NH27" s="5"/>
      <c r="NI27" s="5"/>
      <c r="NJ27" s="5"/>
      <c r="NK27" s="5"/>
      <c r="NL27" s="5"/>
      <c r="NM27" s="5"/>
      <c r="NN27" s="5"/>
      <c r="NO27" s="5"/>
      <c r="NP27" s="5"/>
      <c r="NQ27" s="5"/>
      <c r="NR27" s="5"/>
      <c r="NS27" s="5"/>
      <c r="NT27" s="5"/>
      <c r="NU27" s="5"/>
      <c r="NV27" s="5"/>
      <c r="NW27" s="5"/>
      <c r="NX27" s="5"/>
      <c r="NY27" s="5"/>
      <c r="NZ27" s="5"/>
      <c r="OA27" s="5"/>
      <c r="OB27" s="5"/>
      <c r="OC27" s="5"/>
      <c r="OD27" s="5"/>
      <c r="OE27" s="5"/>
      <c r="OF27" s="5"/>
      <c r="OG27" s="5"/>
      <c r="OH27" s="5"/>
      <c r="OI27" s="5"/>
      <c r="OJ27" s="5"/>
      <c r="OK27" s="5"/>
      <c r="OL27" s="5"/>
      <c r="OM27" s="5"/>
      <c r="ON27" s="5"/>
      <c r="OO27" s="5"/>
      <c r="OP27" s="5"/>
      <c r="OQ27" s="5"/>
      <c r="OR27" s="5"/>
      <c r="OS27" s="5"/>
      <c r="OT27" s="5"/>
      <c r="OU27" s="5"/>
      <c r="OV27" s="5"/>
      <c r="OW27" s="5"/>
      <c r="OX27" s="5"/>
      <c r="OY27" s="5"/>
      <c r="OZ27" s="5"/>
      <c r="PA27" s="5"/>
      <c r="PB27" s="5"/>
      <c r="PC27" s="5"/>
      <c r="PD27" s="5"/>
      <c r="PE27" s="5"/>
      <c r="PF27" s="5"/>
      <c r="PG27" s="5"/>
      <c r="PH27" s="5"/>
      <c r="PI27" s="5"/>
      <c r="PJ27" s="5"/>
      <c r="PK27" s="5"/>
      <c r="PL27" s="5"/>
      <c r="PM27" s="5"/>
      <c r="PN27" s="5"/>
      <c r="PO27" s="5"/>
      <c r="PP27" s="5"/>
      <c r="PQ27" s="5"/>
      <c r="PR27" s="5"/>
      <c r="PS27" s="5"/>
      <c r="PT27" s="5"/>
      <c r="PU27" s="5"/>
      <c r="PV27" s="5"/>
      <c r="PW27" s="5"/>
      <c r="PX27" s="5"/>
      <c r="PY27" s="5"/>
      <c r="PZ27" s="5"/>
      <c r="QA27" s="5"/>
      <c r="QB27" s="5"/>
      <c r="QC27" s="5"/>
      <c r="QD27" s="5"/>
      <c r="QE27" s="5"/>
      <c r="QF27" s="5"/>
      <c r="QG27" s="5"/>
      <c r="QH27" s="5"/>
      <c r="QI27" s="5"/>
      <c r="QJ27" s="5"/>
      <c r="QK27" s="5"/>
      <c r="QL27" s="5"/>
      <c r="QM27" s="5"/>
      <c r="QN27" s="5"/>
      <c r="QO27" s="5"/>
      <c r="QP27" s="5"/>
      <c r="QQ27" s="5"/>
      <c r="QR27" s="5"/>
      <c r="QS27" s="5"/>
      <c r="QT27" s="5"/>
      <c r="QU27" s="5"/>
      <c r="QV27" s="5"/>
      <c r="QW27" s="5"/>
      <c r="QX27" s="5"/>
      <c r="QY27" s="5"/>
      <c r="QZ27" s="5"/>
      <c r="RA27" s="5"/>
      <c r="RB27" s="5"/>
      <c r="RC27" s="5"/>
      <c r="RD27" s="5"/>
      <c r="RE27" s="5"/>
      <c r="RF27" s="5"/>
      <c r="RG27" s="5"/>
      <c r="RH27" s="5"/>
      <c r="RI27" s="5"/>
      <c r="RJ27" s="5"/>
      <c r="RK27" s="5"/>
      <c r="RL27" s="5"/>
      <c r="RM27" s="5"/>
      <c r="RN27" s="5"/>
      <c r="RO27" s="5"/>
      <c r="RP27" s="5"/>
      <c r="RQ27" s="5"/>
      <c r="RR27" s="5"/>
      <c r="RS27" s="5"/>
      <c r="RT27" s="5"/>
      <c r="RU27" s="5"/>
      <c r="RV27" s="5"/>
      <c r="RW27" s="5"/>
      <c r="RX27" s="5"/>
      <c r="RY27" s="5"/>
      <c r="RZ27" s="5"/>
      <c r="SA27" s="5"/>
      <c r="SB27" s="5"/>
      <c r="SC27" s="5"/>
      <c r="SD27" s="5"/>
      <c r="SE27" s="5"/>
      <c r="SF27" s="5"/>
      <c r="SG27" s="5"/>
      <c r="SH27" s="5"/>
      <c r="SI27" s="5"/>
      <c r="SJ27" s="5"/>
      <c r="SK27" s="5"/>
      <c r="SL27" s="5"/>
      <c r="SM27" s="5"/>
      <c r="SN27" s="5"/>
      <c r="SO27" s="5"/>
      <c r="SP27" s="5"/>
      <c r="SQ27" s="5"/>
      <c r="SR27" s="5"/>
      <c r="SS27" s="5"/>
      <c r="ST27" s="5"/>
      <c r="SU27" s="5"/>
      <c r="SV27" s="5"/>
      <c r="SW27" s="5"/>
      <c r="SX27" s="5"/>
      <c r="SY27" s="5"/>
      <c r="SZ27" s="5"/>
      <c r="TA27" s="5"/>
      <c r="TB27" s="5"/>
      <c r="TC27" s="5"/>
      <c r="TD27" s="5"/>
      <c r="TE27" s="5"/>
      <c r="TF27" s="5"/>
      <c r="TG27" s="5"/>
      <c r="TH27" s="5"/>
      <c r="TI27" s="5"/>
      <c r="TJ27" s="5"/>
      <c r="TK27" s="5"/>
      <c r="TL27" s="5"/>
      <c r="TM27" s="5"/>
      <c r="TN27" s="5"/>
      <c r="TO27" s="5"/>
      <c r="TP27" s="5"/>
      <c r="TQ27" s="5"/>
      <c r="TR27" s="5"/>
      <c r="TS27" s="5"/>
      <c r="TT27" s="5"/>
      <c r="TU27" s="5"/>
      <c r="TV27" s="5"/>
      <c r="TW27" s="5"/>
      <c r="TX27" s="5"/>
      <c r="TY27" s="5"/>
      <c r="TZ27" s="5"/>
      <c r="UA27" s="5"/>
      <c r="UB27" s="5"/>
      <c r="UC27" s="5"/>
      <c r="UD27" s="5"/>
      <c r="UE27" s="5"/>
      <c r="UF27" s="5"/>
      <c r="UG27" s="5"/>
      <c r="UH27" s="5"/>
      <c r="UI27" s="5"/>
      <c r="UJ27" s="5"/>
      <c r="UK27" s="5"/>
      <c r="UL27" s="5"/>
      <c r="UM27" s="5"/>
      <c r="UN27" s="5"/>
      <c r="UO27" s="5"/>
      <c r="UP27" s="5"/>
      <c r="UQ27" s="5"/>
      <c r="UR27" s="5"/>
      <c r="US27" s="5"/>
      <c r="UT27" s="5"/>
      <c r="UU27" s="5"/>
      <c r="UV27" s="5"/>
      <c r="UW27" s="5"/>
      <c r="UX27" s="5"/>
      <c r="UY27" s="5"/>
      <c r="UZ27" s="5"/>
      <c r="VA27" s="5"/>
      <c r="VB27" s="5"/>
      <c r="VC27" s="5"/>
      <c r="VD27" s="5"/>
      <c r="VE27" s="5"/>
      <c r="VF27" s="5"/>
      <c r="VG27" s="5"/>
      <c r="VH27" s="5"/>
      <c r="VI27" s="5"/>
      <c r="VJ27" s="5"/>
      <c r="VK27" s="5"/>
      <c r="VL27" s="5"/>
      <c r="VM27" s="5"/>
      <c r="VN27" s="5"/>
      <c r="VO27" s="5"/>
      <c r="VP27" s="5"/>
      <c r="VQ27" s="5"/>
      <c r="VR27" s="5"/>
      <c r="VS27" s="5"/>
      <c r="VT27" s="5"/>
      <c r="VU27" s="5"/>
      <c r="VV27" s="5"/>
      <c r="VW27" s="5"/>
      <c r="VX27" s="5"/>
      <c r="VY27" s="5"/>
      <c r="VZ27" s="5"/>
      <c r="WA27" s="5"/>
      <c r="WB27" s="5"/>
      <c r="WC27" s="5"/>
      <c r="WD27" s="5"/>
      <c r="WE27" s="5"/>
      <c r="WF27" s="5"/>
      <c r="WG27" s="5"/>
      <c r="WH27" s="5"/>
      <c r="WI27" s="5"/>
      <c r="WJ27" s="5"/>
      <c r="WK27" s="5"/>
      <c r="WL27" s="5"/>
      <c r="WM27" s="5"/>
      <c r="WN27" s="5"/>
      <c r="WO27" s="5"/>
      <c r="WP27" s="5"/>
      <c r="WQ27" s="5"/>
      <c r="WR27" s="5"/>
      <c r="WS27" s="5"/>
      <c r="WT27" s="5"/>
      <c r="WU27" s="5"/>
      <c r="WV27" s="5"/>
      <c r="WW27" s="5"/>
      <c r="WX27" s="5"/>
      <c r="WY27" s="5"/>
      <c r="WZ27" s="5"/>
      <c r="XA27" s="5"/>
      <c r="XB27" s="5"/>
      <c r="XC27" s="5"/>
      <c r="XD27" s="5"/>
      <c r="XE27" s="5"/>
      <c r="XF27" s="5"/>
      <c r="XG27" s="5"/>
      <c r="XH27" s="5"/>
      <c r="XI27" s="5"/>
      <c r="XJ27" s="5"/>
      <c r="XK27" s="5"/>
      <c r="XL27" s="5"/>
      <c r="XM27" s="5"/>
      <c r="XN27" s="5"/>
      <c r="XO27" s="5"/>
      <c r="XP27" s="5"/>
      <c r="XQ27" s="5"/>
      <c r="XR27" s="5"/>
      <c r="XS27" s="5"/>
      <c r="XT27" s="5"/>
      <c r="XU27" s="5"/>
      <c r="XV27" s="5"/>
      <c r="XW27" s="5"/>
      <c r="XX27" s="5"/>
      <c r="XY27" s="5"/>
      <c r="XZ27" s="5"/>
      <c r="YA27" s="5"/>
      <c r="YB27" s="5"/>
      <c r="YC27" s="5"/>
      <c r="YD27" s="5"/>
      <c r="YE27" s="5"/>
      <c r="YF27" s="5"/>
      <c r="YG27" s="5"/>
      <c r="YH27" s="5"/>
      <c r="YI27" s="5"/>
      <c r="YJ27" s="5"/>
      <c r="YK27" s="5"/>
      <c r="YL27" s="5"/>
      <c r="YM27" s="5"/>
      <c r="YN27" s="5"/>
      <c r="YO27" s="5"/>
      <c r="YP27" s="5"/>
      <c r="YQ27" s="5"/>
      <c r="YR27" s="5"/>
      <c r="YS27" s="5"/>
      <c r="YT27" s="5"/>
      <c r="YU27" s="5"/>
      <c r="YV27" s="5"/>
      <c r="YW27" s="5"/>
      <c r="YX27" s="5"/>
      <c r="YY27" s="5"/>
      <c r="YZ27" s="5"/>
      <c r="ZA27" s="5"/>
      <c r="ZB27" s="5"/>
      <c r="ZC27" s="5"/>
      <c r="ZD27" s="5"/>
      <c r="ZE27" s="5"/>
      <c r="ZF27" s="5"/>
      <c r="ZG27" s="5"/>
      <c r="ZH27" s="5"/>
      <c r="ZI27" s="5"/>
      <c r="ZJ27" s="5"/>
      <c r="ZK27" s="5"/>
      <c r="ZL27" s="5"/>
      <c r="ZM27" s="5"/>
      <c r="ZN27" s="5"/>
      <c r="ZO27" s="5"/>
      <c r="ZP27" s="5"/>
      <c r="ZQ27" s="5"/>
      <c r="ZR27" s="5"/>
      <c r="ZS27" s="5"/>
      <c r="ZT27" s="5"/>
      <c r="ZU27" s="5"/>
      <c r="ZV27" s="5"/>
      <c r="ZW27" s="5"/>
      <c r="ZX27" s="5"/>
      <c r="ZY27" s="5"/>
      <c r="ZZ27" s="5"/>
      <c r="AAA27" s="5"/>
      <c r="AAB27" s="5"/>
      <c r="AAC27" s="5"/>
      <c r="AAD27" s="5"/>
      <c r="AAE27" s="5"/>
      <c r="AAF27" s="5"/>
      <c r="AAG27" s="5"/>
      <c r="AAH27" s="5"/>
      <c r="AAI27" s="5"/>
      <c r="AAJ27" s="5"/>
      <c r="AAK27" s="5"/>
      <c r="AAL27" s="5"/>
      <c r="AAM27" s="5"/>
      <c r="AAN27" s="5"/>
      <c r="AAO27" s="5"/>
      <c r="AAP27" s="5"/>
      <c r="AAQ27" s="5"/>
      <c r="AAR27" s="5"/>
      <c r="AAS27" s="5"/>
      <c r="AAT27" s="5"/>
      <c r="AAU27" s="5"/>
      <c r="AAV27" s="5"/>
      <c r="AAW27" s="5"/>
      <c r="AAX27" s="5"/>
      <c r="AAY27" s="5"/>
      <c r="AAZ27" s="5"/>
      <c r="ABA27" s="5"/>
      <c r="ABB27" s="5"/>
      <c r="ABC27" s="5"/>
      <c r="ABD27" s="5"/>
      <c r="ABE27" s="5"/>
      <c r="ABF27" s="5"/>
      <c r="ABG27" s="5"/>
      <c r="ABH27" s="5"/>
      <c r="ABI27" s="5"/>
      <c r="ABJ27" s="5"/>
      <c r="ABK27" s="5"/>
      <c r="ABL27" s="5"/>
      <c r="ABM27" s="5"/>
      <c r="ABN27" s="5"/>
      <c r="ABO27" s="5"/>
      <c r="ABP27" s="5"/>
      <c r="ABQ27" s="5"/>
      <c r="ABR27" s="5"/>
      <c r="ABS27" s="5"/>
      <c r="ABT27" s="5"/>
      <c r="ABU27" s="5"/>
      <c r="ABV27" s="5"/>
      <c r="ABW27" s="5"/>
      <c r="ABX27" s="5"/>
      <c r="ABY27" s="5"/>
      <c r="ABZ27" s="5"/>
      <c r="ACA27" s="5"/>
      <c r="ACB27" s="5"/>
      <c r="ACC27" s="5"/>
      <c r="ACD27" s="5"/>
      <c r="ACE27" s="5"/>
      <c r="ACF27" s="5"/>
      <c r="ACG27" s="5"/>
      <c r="ACH27" s="5"/>
      <c r="ACI27" s="5"/>
      <c r="ACJ27" s="5"/>
      <c r="ACK27" s="5"/>
      <c r="ACL27" s="5"/>
      <c r="ACM27" s="5"/>
      <c r="ACN27" s="5"/>
      <c r="ACO27" s="5"/>
      <c r="ACP27" s="5"/>
      <c r="ACQ27" s="5"/>
      <c r="ACR27" s="5"/>
      <c r="ACS27" s="5"/>
      <c r="ACT27" s="5"/>
      <c r="ACU27" s="5"/>
      <c r="ACV27" s="5"/>
      <c r="ACW27" s="5"/>
      <c r="ACX27" s="5"/>
      <c r="ACY27" s="5"/>
      <c r="ACZ27" s="5"/>
      <c r="ADA27" s="5"/>
      <c r="ADB27" s="5"/>
      <c r="ADC27" s="5"/>
      <c r="ADD27" s="5"/>
      <c r="ADE27" s="5"/>
      <c r="ADF27" s="5"/>
      <c r="ADG27" s="5"/>
      <c r="ADH27" s="5"/>
      <c r="ADI27" s="5"/>
      <c r="ADJ27" s="5"/>
      <c r="ADK27" s="5"/>
      <c r="ADL27" s="5"/>
      <c r="ADM27" s="5"/>
      <c r="ADN27" s="5"/>
      <c r="ADO27" s="5"/>
      <c r="ADP27" s="5"/>
      <c r="ADQ27" s="5"/>
      <c r="ADR27" s="5"/>
      <c r="ADS27" s="5"/>
      <c r="ADT27" s="5"/>
      <c r="ADU27" s="5"/>
      <c r="ADV27" s="5"/>
      <c r="ADW27" s="5"/>
      <c r="ADX27" s="5"/>
      <c r="ADY27" s="5"/>
      <c r="ADZ27" s="5"/>
      <c r="AEA27" s="5"/>
      <c r="AEB27" s="5"/>
      <c r="AEC27" s="5"/>
      <c r="AED27" s="5"/>
      <c r="AEE27" s="5"/>
      <c r="AEF27" s="5"/>
      <c r="AEG27" s="5"/>
      <c r="AEH27" s="5"/>
      <c r="AEI27" s="5"/>
      <c r="AEJ27" s="5"/>
      <c r="AEK27" s="5"/>
      <c r="AEL27" s="5"/>
      <c r="AEM27" s="5"/>
      <c r="AEN27" s="5"/>
      <c r="AEO27" s="5"/>
      <c r="AEP27" s="5"/>
      <c r="AEQ27" s="5"/>
      <c r="AER27" s="5"/>
      <c r="AES27" s="5"/>
      <c r="AET27" s="5"/>
      <c r="AEU27" s="5"/>
      <c r="AEV27" s="5"/>
      <c r="AEW27" s="5"/>
      <c r="AEX27" s="5"/>
      <c r="AEY27" s="5"/>
      <c r="AEZ27" s="5"/>
      <c r="AFA27" s="5"/>
      <c r="AFB27" s="5"/>
      <c r="AFC27" s="5"/>
      <c r="AFD27" s="5"/>
      <c r="AFE27" s="5"/>
      <c r="AFF27" s="5"/>
      <c r="AFG27" s="5"/>
      <c r="AFH27" s="5"/>
      <c r="AFI27" s="5"/>
      <c r="AFJ27" s="5"/>
      <c r="AFK27" s="5"/>
      <c r="AFL27" s="5"/>
      <c r="AFM27" s="5"/>
      <c r="AFN27" s="5"/>
      <c r="AFO27" s="5"/>
      <c r="AFP27" s="5"/>
      <c r="AFQ27" s="5"/>
      <c r="AFR27" s="5"/>
      <c r="AFS27" s="5"/>
      <c r="AFT27" s="5"/>
      <c r="AFU27" s="5"/>
      <c r="AFV27" s="5"/>
      <c r="AFW27" s="5"/>
      <c r="AFX27" s="5"/>
      <c r="AFY27" s="5"/>
      <c r="AFZ27" s="5"/>
      <c r="AGA27" s="5"/>
      <c r="AGB27" s="5"/>
      <c r="AGC27" s="5"/>
      <c r="AGD27" s="5"/>
      <c r="AGE27" s="5"/>
      <c r="AGF27" s="5"/>
      <c r="AGG27" s="5"/>
      <c r="AGH27" s="5"/>
      <c r="AGI27" s="5"/>
      <c r="AGJ27" s="5"/>
      <c r="AGK27" s="5"/>
      <c r="AGL27" s="5"/>
      <c r="AGM27" s="5"/>
      <c r="AGN27" s="5"/>
      <c r="AGO27" s="5"/>
      <c r="AGP27" s="5"/>
      <c r="AGQ27" s="5"/>
      <c r="AGR27" s="5"/>
      <c r="AGS27" s="5"/>
      <c r="AGT27" s="5"/>
      <c r="AGU27" s="5"/>
      <c r="AGV27" s="5"/>
      <c r="AGW27" s="5"/>
      <c r="AGX27" s="5"/>
      <c r="AGY27" s="5"/>
      <c r="AGZ27" s="5"/>
      <c r="AHA27" s="5"/>
      <c r="AHB27" s="5"/>
      <c r="AHC27" s="5"/>
      <c r="AHD27" s="5"/>
      <c r="AHE27" s="5"/>
      <c r="AHF27" s="5"/>
      <c r="AHG27" s="5"/>
      <c r="AHH27" s="5"/>
      <c r="AHI27" s="5"/>
      <c r="AHJ27" s="5"/>
      <c r="AHK27" s="5"/>
      <c r="AHL27" s="5"/>
      <c r="AHM27" s="5"/>
      <c r="AHN27" s="5"/>
      <c r="AHO27" s="5"/>
      <c r="AHP27" s="5"/>
      <c r="AHQ27" s="5"/>
      <c r="AHR27" s="5"/>
      <c r="AHS27" s="5"/>
      <c r="AHT27" s="5"/>
      <c r="AHU27" s="5"/>
      <c r="AHV27" s="5"/>
      <c r="AHW27" s="5"/>
      <c r="AHX27" s="5"/>
      <c r="AHY27" s="5"/>
      <c r="AHZ27" s="5"/>
      <c r="AIA27" s="5"/>
      <c r="AIB27" s="5"/>
      <c r="AIC27" s="5"/>
      <c r="AID27" s="5"/>
      <c r="AIE27" s="5"/>
      <c r="AIF27" s="5"/>
      <c r="AIG27" s="5"/>
      <c r="AIH27" s="5"/>
      <c r="AII27" s="5"/>
      <c r="AIJ27" s="5"/>
      <c r="AIK27" s="5"/>
      <c r="AIL27" s="5"/>
      <c r="AIM27" s="5"/>
      <c r="AIN27" s="5"/>
      <c r="AIO27" s="5"/>
      <c r="AIP27" s="5"/>
      <c r="AIQ27" s="5"/>
      <c r="AIR27" s="5"/>
      <c r="AIS27" s="5"/>
      <c r="AIT27" s="5"/>
      <c r="AIU27" s="5"/>
      <c r="AIV27" s="5"/>
      <c r="AIW27" s="5"/>
      <c r="AIX27" s="5"/>
      <c r="AIY27" s="5"/>
      <c r="AIZ27" s="5"/>
      <c r="AJA27" s="5"/>
      <c r="AJB27" s="5"/>
      <c r="AJC27" s="5"/>
      <c r="AJD27" s="5"/>
      <c r="AJE27" s="5"/>
      <c r="AJF27" s="5"/>
      <c r="AJG27" s="5"/>
      <c r="AJH27" s="5"/>
      <c r="AJI27" s="5"/>
      <c r="AJJ27" s="5"/>
      <c r="AJK27" s="5"/>
      <c r="AJL27" s="5"/>
      <c r="AJM27" s="5"/>
      <c r="AJN27" s="5"/>
      <c r="AJO27" s="5"/>
      <c r="AJP27" s="5"/>
      <c r="AJQ27" s="5"/>
      <c r="AJR27" s="5"/>
      <c r="AJS27" s="5"/>
      <c r="AJT27" s="5"/>
      <c r="AJU27" s="5"/>
      <c r="AJV27" s="5"/>
      <c r="AJW27" s="5"/>
      <c r="AJX27" s="5"/>
      <c r="AJY27" s="5"/>
      <c r="AJZ27" s="5"/>
      <c r="AKA27" s="5"/>
      <c r="AKB27" s="5"/>
      <c r="AKC27" s="5"/>
      <c r="AKD27" s="5"/>
      <c r="AKE27" s="5"/>
      <c r="AKF27" s="5"/>
      <c r="AKG27" s="5"/>
      <c r="AKH27" s="5"/>
      <c r="AKI27" s="5"/>
      <c r="AKJ27" s="5"/>
      <c r="AKK27" s="5"/>
      <c r="AKL27" s="5"/>
      <c r="AKM27" s="5"/>
      <c r="AKN27" s="5"/>
      <c r="AKO27" s="5"/>
      <c r="AKP27" s="5"/>
      <c r="AKQ27" s="5"/>
      <c r="AKR27" s="5"/>
      <c r="AKS27" s="5"/>
      <c r="AKT27" s="5"/>
      <c r="AKU27" s="5"/>
      <c r="AKV27" s="5"/>
      <c r="AKW27" s="5"/>
      <c r="AKX27" s="5"/>
      <c r="AKY27" s="5"/>
      <c r="AKZ27" s="5"/>
      <c r="ALA27" s="5"/>
      <c r="ALB27" s="5"/>
      <c r="ALC27" s="5"/>
      <c r="ALD27" s="5"/>
      <c r="ALE27" s="5"/>
      <c r="ALF27" s="5"/>
      <c r="ALG27" s="5"/>
      <c r="ALH27" s="5"/>
      <c r="ALI27" s="5"/>
      <c r="ALJ27" s="5"/>
      <c r="ALK27" s="5"/>
      <c r="ALL27" s="5"/>
      <c r="ALM27" s="5"/>
      <c r="ALN27" s="5"/>
      <c r="ALO27" s="5"/>
      <c r="ALP27" s="5"/>
      <c r="ALQ27" s="5"/>
      <c r="ALR27" s="5"/>
      <c r="ALS27" s="5"/>
      <c r="ALT27" s="5"/>
      <c r="ALU27" s="5"/>
      <c r="ALV27" s="5"/>
      <c r="ALW27" s="5"/>
      <c r="ALX27" s="5"/>
      <c r="ALY27" s="5"/>
      <c r="ALZ27" s="5"/>
      <c r="AMA27" s="5"/>
      <c r="AMB27" s="5"/>
      <c r="AMC27" s="5"/>
      <c r="AMD27" s="5"/>
      <c r="AME27" s="5"/>
      <c r="AMF27" s="5"/>
    </row>
    <row r="28" spans="1:1020" s="8" customFormat="1" x14ac:dyDescent="0.2">
      <c r="A28" s="11" t="s">
        <v>116</v>
      </c>
      <c r="B28" s="11" t="s">
        <v>69</v>
      </c>
      <c r="C28" s="11" t="s">
        <v>25</v>
      </c>
      <c r="D28" s="11" t="s">
        <v>28</v>
      </c>
      <c r="E28" s="5">
        <v>6</v>
      </c>
      <c r="F28" s="11" t="s">
        <v>30</v>
      </c>
      <c r="G28" s="11" t="s">
        <v>100</v>
      </c>
      <c r="H28" s="11" t="s">
        <v>100</v>
      </c>
      <c r="I28" s="5" t="s">
        <v>117</v>
      </c>
      <c r="J28" s="5" t="s">
        <v>118</v>
      </c>
      <c r="K28" s="11">
        <v>2</v>
      </c>
      <c r="L28" s="11" t="s">
        <v>91</v>
      </c>
      <c r="M28" s="5"/>
      <c r="N28" s="5"/>
      <c r="O28" s="5" t="str">
        <f>"Opn4_bulkRNAseq/"&amp;A28&amp;"/outputs/40hisat2_mm38_100/mm38_100_genome-paired_gene_sreverse_gene_ID.count.xz"</f>
        <v>Opn4_bulkRNAseq/S3_Het_SCN_S9/outputs/40hisat2_mm38_100/mm38_100_genome-paired_gene_sreverse_gene_ID.count.xz</v>
      </c>
      <c r="P28" s="1" t="str">
        <f>"Opn4_bulkRNAseq/"&amp;A28&amp;"/outputs/45salmon_mm38_100/quant.sf"</f>
        <v>Opn4_bulkRNAseq/S3_Het_SCN_S9/outputs/45salmon_mm38_100/quant.sf</v>
      </c>
      <c r="Q28" s="5">
        <v>23460245</v>
      </c>
      <c r="R28" s="5">
        <v>21788529</v>
      </c>
      <c r="S28" s="6">
        <f t="shared" si="4"/>
        <v>0.92874260264545405</v>
      </c>
      <c r="T28" s="5">
        <v>578857</v>
      </c>
      <c r="U28" s="5">
        <v>519276</v>
      </c>
      <c r="V28" s="5">
        <v>573583</v>
      </c>
      <c r="W28" s="5"/>
      <c r="X28" s="5"/>
      <c r="Y28" s="7">
        <f t="shared" si="3"/>
        <v>0</v>
      </c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  <c r="SL28" s="5"/>
      <c r="SM28" s="5"/>
      <c r="SN28" s="5"/>
      <c r="SO28" s="5"/>
      <c r="SP28" s="5"/>
      <c r="SQ28" s="5"/>
      <c r="SR28" s="5"/>
      <c r="SS28" s="5"/>
      <c r="ST28" s="5"/>
      <c r="SU28" s="5"/>
      <c r="SV28" s="5"/>
      <c r="SW28" s="5"/>
      <c r="SX28" s="5"/>
      <c r="SY28" s="5"/>
      <c r="SZ28" s="5"/>
      <c r="TA28" s="5"/>
      <c r="TB28" s="5"/>
      <c r="TC28" s="5"/>
      <c r="TD28" s="5"/>
      <c r="TE28" s="5"/>
      <c r="TF28" s="5"/>
      <c r="TG28" s="5"/>
      <c r="TH28" s="5"/>
      <c r="TI28" s="5"/>
      <c r="TJ28" s="5"/>
      <c r="TK28" s="5"/>
      <c r="TL28" s="5"/>
      <c r="TM28" s="5"/>
      <c r="TN28" s="5"/>
      <c r="TO28" s="5"/>
      <c r="TP28" s="5"/>
      <c r="TQ28" s="5"/>
      <c r="TR28" s="5"/>
      <c r="TS28" s="5"/>
      <c r="TT28" s="5"/>
      <c r="TU28" s="5"/>
      <c r="TV28" s="5"/>
      <c r="TW28" s="5"/>
      <c r="TX28" s="5"/>
      <c r="TY28" s="5"/>
      <c r="TZ28" s="5"/>
      <c r="UA28" s="5"/>
      <c r="UB28" s="5"/>
      <c r="UC28" s="5"/>
      <c r="UD28" s="5"/>
      <c r="UE28" s="5"/>
      <c r="UF28" s="5"/>
      <c r="UG28" s="5"/>
      <c r="UH28" s="5"/>
      <c r="UI28" s="5"/>
      <c r="UJ28" s="5"/>
      <c r="UK28" s="5"/>
      <c r="UL28" s="5"/>
      <c r="UM28" s="5"/>
      <c r="UN28" s="5"/>
      <c r="UO28" s="5"/>
      <c r="UP28" s="5"/>
      <c r="UQ28" s="5"/>
      <c r="UR28" s="5"/>
      <c r="US28" s="5"/>
      <c r="UT28" s="5"/>
      <c r="UU28" s="5"/>
      <c r="UV28" s="5"/>
      <c r="UW28" s="5"/>
      <c r="UX28" s="5"/>
      <c r="UY28" s="5"/>
      <c r="UZ28" s="5"/>
      <c r="VA28" s="5"/>
      <c r="VB28" s="5"/>
      <c r="VC28" s="5"/>
      <c r="VD28" s="5"/>
      <c r="VE28" s="5"/>
      <c r="VF28" s="5"/>
      <c r="VG28" s="5"/>
      <c r="VH28" s="5"/>
      <c r="VI28" s="5"/>
      <c r="VJ28" s="5"/>
      <c r="VK28" s="5"/>
      <c r="VL28" s="5"/>
      <c r="VM28" s="5"/>
      <c r="VN28" s="5"/>
      <c r="VO28" s="5"/>
      <c r="VP28" s="5"/>
      <c r="VQ28" s="5"/>
      <c r="VR28" s="5"/>
      <c r="VS28" s="5"/>
      <c r="VT28" s="5"/>
      <c r="VU28" s="5"/>
      <c r="VV28" s="5"/>
      <c r="VW28" s="5"/>
      <c r="VX28" s="5"/>
      <c r="VY28" s="5"/>
      <c r="VZ28" s="5"/>
      <c r="WA28" s="5"/>
      <c r="WB28" s="5"/>
      <c r="WC28" s="5"/>
      <c r="WD28" s="5"/>
      <c r="WE28" s="5"/>
      <c r="WF28" s="5"/>
      <c r="WG28" s="5"/>
      <c r="WH28" s="5"/>
      <c r="WI28" s="5"/>
      <c r="WJ28" s="5"/>
      <c r="WK28" s="5"/>
      <c r="WL28" s="5"/>
      <c r="WM28" s="5"/>
      <c r="WN28" s="5"/>
      <c r="WO28" s="5"/>
      <c r="WP28" s="5"/>
      <c r="WQ28" s="5"/>
      <c r="WR28" s="5"/>
      <c r="WS28" s="5"/>
      <c r="WT28" s="5"/>
      <c r="WU28" s="5"/>
      <c r="WV28" s="5"/>
      <c r="WW28" s="5"/>
      <c r="WX28" s="5"/>
      <c r="WY28" s="5"/>
      <c r="WZ28" s="5"/>
      <c r="XA28" s="5"/>
      <c r="XB28" s="5"/>
      <c r="XC28" s="5"/>
      <c r="XD28" s="5"/>
      <c r="XE28" s="5"/>
      <c r="XF28" s="5"/>
      <c r="XG28" s="5"/>
      <c r="XH28" s="5"/>
      <c r="XI28" s="5"/>
      <c r="XJ28" s="5"/>
      <c r="XK28" s="5"/>
      <c r="XL28" s="5"/>
      <c r="XM28" s="5"/>
      <c r="XN28" s="5"/>
      <c r="XO28" s="5"/>
      <c r="XP28" s="5"/>
      <c r="XQ28" s="5"/>
      <c r="XR28" s="5"/>
      <c r="XS28" s="5"/>
      <c r="XT28" s="5"/>
      <c r="XU28" s="5"/>
      <c r="XV28" s="5"/>
      <c r="XW28" s="5"/>
      <c r="XX28" s="5"/>
      <c r="XY28" s="5"/>
      <c r="XZ28" s="5"/>
      <c r="YA28" s="5"/>
      <c r="YB28" s="5"/>
      <c r="YC28" s="5"/>
      <c r="YD28" s="5"/>
      <c r="YE28" s="5"/>
      <c r="YF28" s="5"/>
      <c r="YG28" s="5"/>
      <c r="YH28" s="5"/>
      <c r="YI28" s="5"/>
      <c r="YJ28" s="5"/>
      <c r="YK28" s="5"/>
      <c r="YL28" s="5"/>
      <c r="YM28" s="5"/>
      <c r="YN28" s="5"/>
      <c r="YO28" s="5"/>
      <c r="YP28" s="5"/>
      <c r="YQ28" s="5"/>
      <c r="YR28" s="5"/>
      <c r="YS28" s="5"/>
      <c r="YT28" s="5"/>
      <c r="YU28" s="5"/>
      <c r="YV28" s="5"/>
      <c r="YW28" s="5"/>
      <c r="YX28" s="5"/>
      <c r="YY28" s="5"/>
      <c r="YZ28" s="5"/>
      <c r="ZA28" s="5"/>
      <c r="ZB28" s="5"/>
      <c r="ZC28" s="5"/>
      <c r="ZD28" s="5"/>
      <c r="ZE28" s="5"/>
      <c r="ZF28" s="5"/>
      <c r="ZG28" s="5"/>
      <c r="ZH28" s="5"/>
      <c r="ZI28" s="5"/>
      <c r="ZJ28" s="5"/>
      <c r="ZK28" s="5"/>
      <c r="ZL28" s="5"/>
      <c r="ZM28" s="5"/>
      <c r="ZN28" s="5"/>
      <c r="ZO28" s="5"/>
      <c r="ZP28" s="5"/>
      <c r="ZQ28" s="5"/>
      <c r="ZR28" s="5"/>
      <c r="ZS28" s="5"/>
      <c r="ZT28" s="5"/>
      <c r="ZU28" s="5"/>
      <c r="ZV28" s="5"/>
      <c r="ZW28" s="5"/>
      <c r="ZX28" s="5"/>
      <c r="ZY28" s="5"/>
      <c r="ZZ28" s="5"/>
      <c r="AAA28" s="5"/>
      <c r="AAB28" s="5"/>
      <c r="AAC28" s="5"/>
      <c r="AAD28" s="5"/>
      <c r="AAE28" s="5"/>
      <c r="AAF28" s="5"/>
      <c r="AAG28" s="5"/>
      <c r="AAH28" s="5"/>
      <c r="AAI28" s="5"/>
      <c r="AAJ28" s="5"/>
      <c r="AAK28" s="5"/>
      <c r="AAL28" s="5"/>
      <c r="AAM28" s="5"/>
      <c r="AAN28" s="5"/>
      <c r="AAO28" s="5"/>
      <c r="AAP28" s="5"/>
      <c r="AAQ28" s="5"/>
      <c r="AAR28" s="5"/>
      <c r="AAS28" s="5"/>
      <c r="AAT28" s="5"/>
      <c r="AAU28" s="5"/>
      <c r="AAV28" s="5"/>
      <c r="AAW28" s="5"/>
      <c r="AAX28" s="5"/>
      <c r="AAY28" s="5"/>
      <c r="AAZ28" s="5"/>
      <c r="ABA28" s="5"/>
      <c r="ABB28" s="5"/>
      <c r="ABC28" s="5"/>
      <c r="ABD28" s="5"/>
      <c r="ABE28" s="5"/>
      <c r="ABF28" s="5"/>
      <c r="ABG28" s="5"/>
      <c r="ABH28" s="5"/>
      <c r="ABI28" s="5"/>
      <c r="ABJ28" s="5"/>
      <c r="ABK28" s="5"/>
      <c r="ABL28" s="5"/>
      <c r="ABM28" s="5"/>
      <c r="ABN28" s="5"/>
      <c r="ABO28" s="5"/>
      <c r="ABP28" s="5"/>
      <c r="ABQ28" s="5"/>
      <c r="ABR28" s="5"/>
      <c r="ABS28" s="5"/>
      <c r="ABT28" s="5"/>
      <c r="ABU28" s="5"/>
      <c r="ABV28" s="5"/>
      <c r="ABW28" s="5"/>
      <c r="ABX28" s="5"/>
      <c r="ABY28" s="5"/>
      <c r="ABZ28" s="5"/>
      <c r="ACA28" s="5"/>
      <c r="ACB28" s="5"/>
      <c r="ACC28" s="5"/>
      <c r="ACD28" s="5"/>
      <c r="ACE28" s="5"/>
      <c r="ACF28" s="5"/>
      <c r="ACG28" s="5"/>
      <c r="ACH28" s="5"/>
      <c r="ACI28" s="5"/>
      <c r="ACJ28" s="5"/>
      <c r="ACK28" s="5"/>
      <c r="ACL28" s="5"/>
      <c r="ACM28" s="5"/>
      <c r="ACN28" s="5"/>
      <c r="ACO28" s="5"/>
      <c r="ACP28" s="5"/>
      <c r="ACQ28" s="5"/>
      <c r="ACR28" s="5"/>
      <c r="ACS28" s="5"/>
      <c r="ACT28" s="5"/>
      <c r="ACU28" s="5"/>
      <c r="ACV28" s="5"/>
      <c r="ACW28" s="5"/>
      <c r="ACX28" s="5"/>
      <c r="ACY28" s="5"/>
      <c r="ACZ28" s="5"/>
      <c r="ADA28" s="5"/>
      <c r="ADB28" s="5"/>
      <c r="ADC28" s="5"/>
      <c r="ADD28" s="5"/>
      <c r="ADE28" s="5"/>
      <c r="ADF28" s="5"/>
      <c r="ADG28" s="5"/>
      <c r="ADH28" s="5"/>
      <c r="ADI28" s="5"/>
      <c r="ADJ28" s="5"/>
      <c r="ADK28" s="5"/>
      <c r="ADL28" s="5"/>
      <c r="ADM28" s="5"/>
      <c r="ADN28" s="5"/>
      <c r="ADO28" s="5"/>
      <c r="ADP28" s="5"/>
      <c r="ADQ28" s="5"/>
      <c r="ADR28" s="5"/>
      <c r="ADS28" s="5"/>
      <c r="ADT28" s="5"/>
      <c r="ADU28" s="5"/>
      <c r="ADV28" s="5"/>
      <c r="ADW28" s="5"/>
      <c r="ADX28" s="5"/>
      <c r="ADY28" s="5"/>
      <c r="ADZ28" s="5"/>
      <c r="AEA28" s="5"/>
      <c r="AEB28" s="5"/>
      <c r="AEC28" s="5"/>
      <c r="AED28" s="5"/>
      <c r="AEE28" s="5"/>
      <c r="AEF28" s="5"/>
      <c r="AEG28" s="5"/>
      <c r="AEH28" s="5"/>
      <c r="AEI28" s="5"/>
      <c r="AEJ28" s="5"/>
      <c r="AEK28" s="5"/>
      <c r="AEL28" s="5"/>
      <c r="AEM28" s="5"/>
      <c r="AEN28" s="5"/>
      <c r="AEO28" s="5"/>
      <c r="AEP28" s="5"/>
      <c r="AEQ28" s="5"/>
      <c r="AER28" s="5"/>
      <c r="AES28" s="5"/>
      <c r="AET28" s="5"/>
      <c r="AEU28" s="5"/>
      <c r="AEV28" s="5"/>
      <c r="AEW28" s="5"/>
      <c r="AEX28" s="5"/>
      <c r="AEY28" s="5"/>
      <c r="AEZ28" s="5"/>
      <c r="AFA28" s="5"/>
      <c r="AFB28" s="5"/>
      <c r="AFC28" s="5"/>
      <c r="AFD28" s="5"/>
      <c r="AFE28" s="5"/>
      <c r="AFF28" s="5"/>
      <c r="AFG28" s="5"/>
      <c r="AFH28" s="5"/>
      <c r="AFI28" s="5"/>
      <c r="AFJ28" s="5"/>
      <c r="AFK28" s="5"/>
      <c r="AFL28" s="5"/>
      <c r="AFM28" s="5"/>
      <c r="AFN28" s="5"/>
      <c r="AFO28" s="5"/>
      <c r="AFP28" s="5"/>
      <c r="AFQ28" s="5"/>
      <c r="AFR28" s="5"/>
      <c r="AFS28" s="5"/>
      <c r="AFT28" s="5"/>
      <c r="AFU28" s="5"/>
      <c r="AFV28" s="5"/>
      <c r="AFW28" s="5"/>
      <c r="AFX28" s="5"/>
      <c r="AFY28" s="5"/>
      <c r="AFZ28" s="5"/>
      <c r="AGA28" s="5"/>
      <c r="AGB28" s="5"/>
      <c r="AGC28" s="5"/>
      <c r="AGD28" s="5"/>
      <c r="AGE28" s="5"/>
      <c r="AGF28" s="5"/>
      <c r="AGG28" s="5"/>
      <c r="AGH28" s="5"/>
      <c r="AGI28" s="5"/>
      <c r="AGJ28" s="5"/>
      <c r="AGK28" s="5"/>
      <c r="AGL28" s="5"/>
      <c r="AGM28" s="5"/>
      <c r="AGN28" s="5"/>
      <c r="AGO28" s="5"/>
      <c r="AGP28" s="5"/>
      <c r="AGQ28" s="5"/>
      <c r="AGR28" s="5"/>
      <c r="AGS28" s="5"/>
      <c r="AGT28" s="5"/>
      <c r="AGU28" s="5"/>
      <c r="AGV28" s="5"/>
      <c r="AGW28" s="5"/>
      <c r="AGX28" s="5"/>
      <c r="AGY28" s="5"/>
      <c r="AGZ28" s="5"/>
      <c r="AHA28" s="5"/>
      <c r="AHB28" s="5"/>
      <c r="AHC28" s="5"/>
      <c r="AHD28" s="5"/>
      <c r="AHE28" s="5"/>
      <c r="AHF28" s="5"/>
      <c r="AHG28" s="5"/>
      <c r="AHH28" s="5"/>
      <c r="AHI28" s="5"/>
      <c r="AHJ28" s="5"/>
      <c r="AHK28" s="5"/>
      <c r="AHL28" s="5"/>
      <c r="AHM28" s="5"/>
      <c r="AHN28" s="5"/>
      <c r="AHO28" s="5"/>
      <c r="AHP28" s="5"/>
      <c r="AHQ28" s="5"/>
      <c r="AHR28" s="5"/>
      <c r="AHS28" s="5"/>
      <c r="AHT28" s="5"/>
      <c r="AHU28" s="5"/>
      <c r="AHV28" s="5"/>
      <c r="AHW28" s="5"/>
      <c r="AHX28" s="5"/>
      <c r="AHY28" s="5"/>
      <c r="AHZ28" s="5"/>
      <c r="AIA28" s="5"/>
      <c r="AIB28" s="5"/>
      <c r="AIC28" s="5"/>
      <c r="AID28" s="5"/>
      <c r="AIE28" s="5"/>
      <c r="AIF28" s="5"/>
      <c r="AIG28" s="5"/>
      <c r="AIH28" s="5"/>
      <c r="AII28" s="5"/>
      <c r="AIJ28" s="5"/>
      <c r="AIK28" s="5"/>
      <c r="AIL28" s="5"/>
      <c r="AIM28" s="5"/>
      <c r="AIN28" s="5"/>
      <c r="AIO28" s="5"/>
      <c r="AIP28" s="5"/>
      <c r="AIQ28" s="5"/>
      <c r="AIR28" s="5"/>
      <c r="AIS28" s="5"/>
      <c r="AIT28" s="5"/>
      <c r="AIU28" s="5"/>
      <c r="AIV28" s="5"/>
      <c r="AIW28" s="5"/>
      <c r="AIX28" s="5"/>
      <c r="AIY28" s="5"/>
      <c r="AIZ28" s="5"/>
      <c r="AJA28" s="5"/>
      <c r="AJB28" s="5"/>
      <c r="AJC28" s="5"/>
      <c r="AJD28" s="5"/>
      <c r="AJE28" s="5"/>
      <c r="AJF28" s="5"/>
      <c r="AJG28" s="5"/>
      <c r="AJH28" s="5"/>
      <c r="AJI28" s="5"/>
      <c r="AJJ28" s="5"/>
      <c r="AJK28" s="5"/>
      <c r="AJL28" s="5"/>
      <c r="AJM28" s="5"/>
      <c r="AJN28" s="5"/>
      <c r="AJO28" s="5"/>
      <c r="AJP28" s="5"/>
      <c r="AJQ28" s="5"/>
      <c r="AJR28" s="5"/>
      <c r="AJS28" s="5"/>
      <c r="AJT28" s="5"/>
      <c r="AJU28" s="5"/>
      <c r="AJV28" s="5"/>
      <c r="AJW28" s="5"/>
      <c r="AJX28" s="5"/>
      <c r="AJY28" s="5"/>
      <c r="AJZ28" s="5"/>
      <c r="AKA28" s="5"/>
      <c r="AKB28" s="5"/>
      <c r="AKC28" s="5"/>
      <c r="AKD28" s="5"/>
      <c r="AKE28" s="5"/>
      <c r="AKF28" s="5"/>
      <c r="AKG28" s="5"/>
      <c r="AKH28" s="5"/>
      <c r="AKI28" s="5"/>
      <c r="AKJ28" s="5"/>
      <c r="AKK28" s="5"/>
      <c r="AKL28" s="5"/>
      <c r="AKM28" s="5"/>
      <c r="AKN28" s="5"/>
      <c r="AKO28" s="5"/>
      <c r="AKP28" s="5"/>
      <c r="AKQ28" s="5"/>
      <c r="AKR28" s="5"/>
      <c r="AKS28" s="5"/>
      <c r="AKT28" s="5"/>
      <c r="AKU28" s="5"/>
      <c r="AKV28" s="5"/>
      <c r="AKW28" s="5"/>
      <c r="AKX28" s="5"/>
      <c r="AKY28" s="5"/>
      <c r="AKZ28" s="5"/>
      <c r="ALA28" s="5"/>
      <c r="ALB28" s="5"/>
      <c r="ALC28" s="5"/>
      <c r="ALD28" s="5"/>
      <c r="ALE28" s="5"/>
      <c r="ALF28" s="5"/>
      <c r="ALG28" s="5"/>
      <c r="ALH28" s="5"/>
      <c r="ALI28" s="5"/>
      <c r="ALJ28" s="5"/>
      <c r="ALK28" s="5"/>
      <c r="ALL28" s="5"/>
      <c r="ALM28" s="5"/>
      <c r="ALN28" s="5"/>
      <c r="ALO28" s="5"/>
      <c r="ALP28" s="5"/>
      <c r="ALQ28" s="5"/>
      <c r="ALR28" s="5"/>
      <c r="ALS28" s="5"/>
      <c r="ALT28" s="5"/>
      <c r="ALU28" s="5"/>
      <c r="ALV28" s="5"/>
      <c r="ALW28" s="5"/>
      <c r="ALX28" s="5"/>
      <c r="ALY28" s="5"/>
      <c r="ALZ28" s="5"/>
      <c r="AMA28" s="5"/>
      <c r="AMB28" s="5"/>
      <c r="AMC28" s="5"/>
      <c r="AMD28" s="5"/>
      <c r="AME28" s="5"/>
      <c r="AMF28" s="5"/>
    </row>
    <row r="29" spans="1:1020" s="8" customFormat="1" x14ac:dyDescent="0.2">
      <c r="A29" s="11" t="s">
        <v>119</v>
      </c>
      <c r="B29" s="11" t="s">
        <v>71</v>
      </c>
      <c r="C29" s="11" t="s">
        <v>25</v>
      </c>
      <c r="D29" s="11" t="s">
        <v>29</v>
      </c>
      <c r="E29" s="5">
        <v>7</v>
      </c>
      <c r="F29" s="11" t="s">
        <v>30</v>
      </c>
      <c r="G29" s="11" t="s">
        <v>92</v>
      </c>
      <c r="H29" s="11" t="s">
        <v>92</v>
      </c>
      <c r="I29" s="5" t="s">
        <v>120</v>
      </c>
      <c r="J29" s="5" t="s">
        <v>121</v>
      </c>
      <c r="K29" s="11">
        <v>2</v>
      </c>
      <c r="L29" s="11" t="s">
        <v>91</v>
      </c>
      <c r="M29" s="5"/>
      <c r="N29" s="5"/>
      <c r="O29" s="5" t="str">
        <f>"Opn4_bulkRNAseq/"&amp;A29&amp;"/outputs/40hisat2_mm38_100/mm38_100_genome-paired_gene_sreverse_gene_ID.count.xz"</f>
        <v>Opn4_bulkRNAseq/S4_Het_Ret_S10/outputs/40hisat2_mm38_100/mm38_100_genome-paired_gene_sreverse_gene_ID.count.xz</v>
      </c>
      <c r="P29" s="1" t="str">
        <f>"Opn4_bulkRNAseq/"&amp;A29&amp;"/outputs/45salmon_mm38_100/quant.sf"</f>
        <v>Opn4_bulkRNAseq/S4_Het_Ret_S10/outputs/45salmon_mm38_100/quant.sf</v>
      </c>
      <c r="Q29" s="5">
        <v>21215962</v>
      </c>
      <c r="R29" s="5">
        <v>19776924</v>
      </c>
      <c r="S29" s="6">
        <f>R29/Q29</f>
        <v>0.93217191848288572</v>
      </c>
      <c r="T29" s="5">
        <v>563433</v>
      </c>
      <c r="U29" s="5">
        <v>454030</v>
      </c>
      <c r="V29" s="5">
        <v>421575</v>
      </c>
      <c r="W29" s="5"/>
      <c r="X29" s="5"/>
      <c r="Y29" s="7">
        <f t="shared" si="3"/>
        <v>0</v>
      </c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  <c r="RF29" s="5"/>
      <c r="RG29" s="5"/>
      <c r="RH29" s="5"/>
      <c r="RI29" s="5"/>
      <c r="RJ29" s="5"/>
      <c r="RK29" s="5"/>
      <c r="RL29" s="5"/>
      <c r="RM29" s="5"/>
      <c r="RN29" s="5"/>
      <c r="RO29" s="5"/>
      <c r="RP29" s="5"/>
      <c r="RQ29" s="5"/>
      <c r="RR29" s="5"/>
      <c r="RS29" s="5"/>
      <c r="RT29" s="5"/>
      <c r="RU29" s="5"/>
      <c r="RV29" s="5"/>
      <c r="RW29" s="5"/>
      <c r="RX29" s="5"/>
      <c r="RY29" s="5"/>
      <c r="RZ29" s="5"/>
      <c r="SA29" s="5"/>
      <c r="SB29" s="5"/>
      <c r="SC29" s="5"/>
      <c r="SD29" s="5"/>
      <c r="SE29" s="5"/>
      <c r="SF29" s="5"/>
      <c r="SG29" s="5"/>
      <c r="SH29" s="5"/>
      <c r="SI29" s="5"/>
      <c r="SJ29" s="5"/>
      <c r="SK29" s="5"/>
      <c r="SL29" s="5"/>
      <c r="SM29" s="5"/>
      <c r="SN29" s="5"/>
      <c r="SO29" s="5"/>
      <c r="SP29" s="5"/>
      <c r="SQ29" s="5"/>
      <c r="SR29" s="5"/>
      <c r="SS29" s="5"/>
      <c r="ST29" s="5"/>
      <c r="SU29" s="5"/>
      <c r="SV29" s="5"/>
      <c r="SW29" s="5"/>
      <c r="SX29" s="5"/>
      <c r="SY29" s="5"/>
      <c r="SZ29" s="5"/>
      <c r="TA29" s="5"/>
      <c r="TB29" s="5"/>
      <c r="TC29" s="5"/>
      <c r="TD29" s="5"/>
      <c r="TE29" s="5"/>
      <c r="TF29" s="5"/>
      <c r="TG29" s="5"/>
      <c r="TH29" s="5"/>
      <c r="TI29" s="5"/>
      <c r="TJ29" s="5"/>
      <c r="TK29" s="5"/>
      <c r="TL29" s="5"/>
      <c r="TM29" s="5"/>
      <c r="TN29" s="5"/>
      <c r="TO29" s="5"/>
      <c r="TP29" s="5"/>
      <c r="TQ29" s="5"/>
      <c r="TR29" s="5"/>
      <c r="TS29" s="5"/>
      <c r="TT29" s="5"/>
      <c r="TU29" s="5"/>
      <c r="TV29" s="5"/>
      <c r="TW29" s="5"/>
      <c r="TX29" s="5"/>
      <c r="TY29" s="5"/>
      <c r="TZ29" s="5"/>
      <c r="UA29" s="5"/>
      <c r="UB29" s="5"/>
      <c r="UC29" s="5"/>
      <c r="UD29" s="5"/>
      <c r="UE29" s="5"/>
      <c r="UF29" s="5"/>
      <c r="UG29" s="5"/>
      <c r="UH29" s="5"/>
      <c r="UI29" s="5"/>
      <c r="UJ29" s="5"/>
      <c r="UK29" s="5"/>
      <c r="UL29" s="5"/>
      <c r="UM29" s="5"/>
      <c r="UN29" s="5"/>
      <c r="UO29" s="5"/>
      <c r="UP29" s="5"/>
      <c r="UQ29" s="5"/>
      <c r="UR29" s="5"/>
      <c r="US29" s="5"/>
      <c r="UT29" s="5"/>
      <c r="UU29" s="5"/>
      <c r="UV29" s="5"/>
      <c r="UW29" s="5"/>
      <c r="UX29" s="5"/>
      <c r="UY29" s="5"/>
      <c r="UZ29" s="5"/>
      <c r="VA29" s="5"/>
      <c r="VB29" s="5"/>
      <c r="VC29" s="5"/>
      <c r="VD29" s="5"/>
      <c r="VE29" s="5"/>
      <c r="VF29" s="5"/>
      <c r="VG29" s="5"/>
      <c r="VH29" s="5"/>
      <c r="VI29" s="5"/>
      <c r="VJ29" s="5"/>
      <c r="VK29" s="5"/>
      <c r="VL29" s="5"/>
      <c r="VM29" s="5"/>
      <c r="VN29" s="5"/>
      <c r="VO29" s="5"/>
      <c r="VP29" s="5"/>
      <c r="VQ29" s="5"/>
      <c r="VR29" s="5"/>
      <c r="VS29" s="5"/>
      <c r="VT29" s="5"/>
      <c r="VU29" s="5"/>
      <c r="VV29" s="5"/>
      <c r="VW29" s="5"/>
      <c r="VX29" s="5"/>
      <c r="VY29" s="5"/>
      <c r="VZ29" s="5"/>
      <c r="WA29" s="5"/>
      <c r="WB29" s="5"/>
      <c r="WC29" s="5"/>
      <c r="WD29" s="5"/>
      <c r="WE29" s="5"/>
      <c r="WF29" s="5"/>
      <c r="WG29" s="5"/>
      <c r="WH29" s="5"/>
      <c r="WI29" s="5"/>
      <c r="WJ29" s="5"/>
      <c r="WK29" s="5"/>
      <c r="WL29" s="5"/>
      <c r="WM29" s="5"/>
      <c r="WN29" s="5"/>
      <c r="WO29" s="5"/>
      <c r="WP29" s="5"/>
      <c r="WQ29" s="5"/>
      <c r="WR29" s="5"/>
      <c r="WS29" s="5"/>
      <c r="WT29" s="5"/>
      <c r="WU29" s="5"/>
      <c r="WV29" s="5"/>
      <c r="WW29" s="5"/>
      <c r="WX29" s="5"/>
      <c r="WY29" s="5"/>
      <c r="WZ29" s="5"/>
      <c r="XA29" s="5"/>
      <c r="XB29" s="5"/>
      <c r="XC29" s="5"/>
      <c r="XD29" s="5"/>
      <c r="XE29" s="5"/>
      <c r="XF29" s="5"/>
      <c r="XG29" s="5"/>
      <c r="XH29" s="5"/>
      <c r="XI29" s="5"/>
      <c r="XJ29" s="5"/>
      <c r="XK29" s="5"/>
      <c r="XL29" s="5"/>
      <c r="XM29" s="5"/>
      <c r="XN29" s="5"/>
      <c r="XO29" s="5"/>
      <c r="XP29" s="5"/>
      <c r="XQ29" s="5"/>
      <c r="XR29" s="5"/>
      <c r="XS29" s="5"/>
      <c r="XT29" s="5"/>
      <c r="XU29" s="5"/>
      <c r="XV29" s="5"/>
      <c r="XW29" s="5"/>
      <c r="XX29" s="5"/>
      <c r="XY29" s="5"/>
      <c r="XZ29" s="5"/>
      <c r="YA29" s="5"/>
      <c r="YB29" s="5"/>
      <c r="YC29" s="5"/>
      <c r="YD29" s="5"/>
      <c r="YE29" s="5"/>
      <c r="YF29" s="5"/>
      <c r="YG29" s="5"/>
      <c r="YH29" s="5"/>
      <c r="YI29" s="5"/>
      <c r="YJ29" s="5"/>
      <c r="YK29" s="5"/>
      <c r="YL29" s="5"/>
      <c r="YM29" s="5"/>
      <c r="YN29" s="5"/>
      <c r="YO29" s="5"/>
      <c r="YP29" s="5"/>
      <c r="YQ29" s="5"/>
      <c r="YR29" s="5"/>
      <c r="YS29" s="5"/>
      <c r="YT29" s="5"/>
      <c r="YU29" s="5"/>
      <c r="YV29" s="5"/>
      <c r="YW29" s="5"/>
      <c r="YX29" s="5"/>
      <c r="YY29" s="5"/>
      <c r="YZ29" s="5"/>
      <c r="ZA29" s="5"/>
      <c r="ZB29" s="5"/>
      <c r="ZC29" s="5"/>
      <c r="ZD29" s="5"/>
      <c r="ZE29" s="5"/>
      <c r="ZF29" s="5"/>
      <c r="ZG29" s="5"/>
      <c r="ZH29" s="5"/>
      <c r="ZI29" s="5"/>
      <c r="ZJ29" s="5"/>
      <c r="ZK29" s="5"/>
      <c r="ZL29" s="5"/>
      <c r="ZM29" s="5"/>
      <c r="ZN29" s="5"/>
      <c r="ZO29" s="5"/>
      <c r="ZP29" s="5"/>
      <c r="ZQ29" s="5"/>
      <c r="ZR29" s="5"/>
      <c r="ZS29" s="5"/>
      <c r="ZT29" s="5"/>
      <c r="ZU29" s="5"/>
      <c r="ZV29" s="5"/>
      <c r="ZW29" s="5"/>
      <c r="ZX29" s="5"/>
      <c r="ZY29" s="5"/>
      <c r="ZZ29" s="5"/>
      <c r="AAA29" s="5"/>
      <c r="AAB29" s="5"/>
      <c r="AAC29" s="5"/>
      <c r="AAD29" s="5"/>
      <c r="AAE29" s="5"/>
      <c r="AAF29" s="5"/>
      <c r="AAG29" s="5"/>
      <c r="AAH29" s="5"/>
      <c r="AAI29" s="5"/>
      <c r="AAJ29" s="5"/>
      <c r="AAK29" s="5"/>
      <c r="AAL29" s="5"/>
      <c r="AAM29" s="5"/>
      <c r="AAN29" s="5"/>
      <c r="AAO29" s="5"/>
      <c r="AAP29" s="5"/>
      <c r="AAQ29" s="5"/>
      <c r="AAR29" s="5"/>
      <c r="AAS29" s="5"/>
      <c r="AAT29" s="5"/>
      <c r="AAU29" s="5"/>
      <c r="AAV29" s="5"/>
      <c r="AAW29" s="5"/>
      <c r="AAX29" s="5"/>
      <c r="AAY29" s="5"/>
      <c r="AAZ29" s="5"/>
      <c r="ABA29" s="5"/>
      <c r="ABB29" s="5"/>
      <c r="ABC29" s="5"/>
      <c r="ABD29" s="5"/>
      <c r="ABE29" s="5"/>
      <c r="ABF29" s="5"/>
      <c r="ABG29" s="5"/>
      <c r="ABH29" s="5"/>
      <c r="ABI29" s="5"/>
      <c r="ABJ29" s="5"/>
      <c r="ABK29" s="5"/>
      <c r="ABL29" s="5"/>
      <c r="ABM29" s="5"/>
      <c r="ABN29" s="5"/>
      <c r="ABO29" s="5"/>
      <c r="ABP29" s="5"/>
      <c r="ABQ29" s="5"/>
      <c r="ABR29" s="5"/>
      <c r="ABS29" s="5"/>
      <c r="ABT29" s="5"/>
      <c r="ABU29" s="5"/>
      <c r="ABV29" s="5"/>
      <c r="ABW29" s="5"/>
      <c r="ABX29" s="5"/>
      <c r="ABY29" s="5"/>
      <c r="ABZ29" s="5"/>
      <c r="ACA29" s="5"/>
      <c r="ACB29" s="5"/>
      <c r="ACC29" s="5"/>
      <c r="ACD29" s="5"/>
      <c r="ACE29" s="5"/>
      <c r="ACF29" s="5"/>
      <c r="ACG29" s="5"/>
      <c r="ACH29" s="5"/>
      <c r="ACI29" s="5"/>
      <c r="ACJ29" s="5"/>
      <c r="ACK29" s="5"/>
      <c r="ACL29" s="5"/>
      <c r="ACM29" s="5"/>
      <c r="ACN29" s="5"/>
      <c r="ACO29" s="5"/>
      <c r="ACP29" s="5"/>
      <c r="ACQ29" s="5"/>
      <c r="ACR29" s="5"/>
      <c r="ACS29" s="5"/>
      <c r="ACT29" s="5"/>
      <c r="ACU29" s="5"/>
      <c r="ACV29" s="5"/>
      <c r="ACW29" s="5"/>
      <c r="ACX29" s="5"/>
      <c r="ACY29" s="5"/>
      <c r="ACZ29" s="5"/>
      <c r="ADA29" s="5"/>
      <c r="ADB29" s="5"/>
      <c r="ADC29" s="5"/>
      <c r="ADD29" s="5"/>
      <c r="ADE29" s="5"/>
      <c r="ADF29" s="5"/>
      <c r="ADG29" s="5"/>
      <c r="ADH29" s="5"/>
      <c r="ADI29" s="5"/>
      <c r="ADJ29" s="5"/>
      <c r="ADK29" s="5"/>
      <c r="ADL29" s="5"/>
      <c r="ADM29" s="5"/>
      <c r="ADN29" s="5"/>
      <c r="ADO29" s="5"/>
      <c r="ADP29" s="5"/>
      <c r="ADQ29" s="5"/>
      <c r="ADR29" s="5"/>
      <c r="ADS29" s="5"/>
      <c r="ADT29" s="5"/>
      <c r="ADU29" s="5"/>
      <c r="ADV29" s="5"/>
      <c r="ADW29" s="5"/>
      <c r="ADX29" s="5"/>
      <c r="ADY29" s="5"/>
      <c r="ADZ29" s="5"/>
      <c r="AEA29" s="5"/>
      <c r="AEB29" s="5"/>
      <c r="AEC29" s="5"/>
      <c r="AED29" s="5"/>
      <c r="AEE29" s="5"/>
      <c r="AEF29" s="5"/>
      <c r="AEG29" s="5"/>
      <c r="AEH29" s="5"/>
      <c r="AEI29" s="5"/>
      <c r="AEJ29" s="5"/>
      <c r="AEK29" s="5"/>
      <c r="AEL29" s="5"/>
      <c r="AEM29" s="5"/>
      <c r="AEN29" s="5"/>
      <c r="AEO29" s="5"/>
      <c r="AEP29" s="5"/>
      <c r="AEQ29" s="5"/>
      <c r="AER29" s="5"/>
      <c r="AES29" s="5"/>
      <c r="AET29" s="5"/>
      <c r="AEU29" s="5"/>
      <c r="AEV29" s="5"/>
      <c r="AEW29" s="5"/>
      <c r="AEX29" s="5"/>
      <c r="AEY29" s="5"/>
      <c r="AEZ29" s="5"/>
      <c r="AFA29" s="5"/>
      <c r="AFB29" s="5"/>
      <c r="AFC29" s="5"/>
      <c r="AFD29" s="5"/>
      <c r="AFE29" s="5"/>
      <c r="AFF29" s="5"/>
      <c r="AFG29" s="5"/>
      <c r="AFH29" s="5"/>
      <c r="AFI29" s="5"/>
      <c r="AFJ29" s="5"/>
      <c r="AFK29" s="5"/>
      <c r="AFL29" s="5"/>
      <c r="AFM29" s="5"/>
      <c r="AFN29" s="5"/>
      <c r="AFO29" s="5"/>
      <c r="AFP29" s="5"/>
      <c r="AFQ29" s="5"/>
      <c r="AFR29" s="5"/>
      <c r="AFS29" s="5"/>
      <c r="AFT29" s="5"/>
      <c r="AFU29" s="5"/>
      <c r="AFV29" s="5"/>
      <c r="AFW29" s="5"/>
      <c r="AFX29" s="5"/>
      <c r="AFY29" s="5"/>
      <c r="AFZ29" s="5"/>
      <c r="AGA29" s="5"/>
      <c r="AGB29" s="5"/>
      <c r="AGC29" s="5"/>
      <c r="AGD29" s="5"/>
      <c r="AGE29" s="5"/>
      <c r="AGF29" s="5"/>
      <c r="AGG29" s="5"/>
      <c r="AGH29" s="5"/>
      <c r="AGI29" s="5"/>
      <c r="AGJ29" s="5"/>
      <c r="AGK29" s="5"/>
      <c r="AGL29" s="5"/>
      <c r="AGM29" s="5"/>
      <c r="AGN29" s="5"/>
      <c r="AGO29" s="5"/>
      <c r="AGP29" s="5"/>
      <c r="AGQ29" s="5"/>
      <c r="AGR29" s="5"/>
      <c r="AGS29" s="5"/>
      <c r="AGT29" s="5"/>
      <c r="AGU29" s="5"/>
      <c r="AGV29" s="5"/>
      <c r="AGW29" s="5"/>
      <c r="AGX29" s="5"/>
      <c r="AGY29" s="5"/>
      <c r="AGZ29" s="5"/>
      <c r="AHA29" s="5"/>
      <c r="AHB29" s="5"/>
      <c r="AHC29" s="5"/>
      <c r="AHD29" s="5"/>
      <c r="AHE29" s="5"/>
      <c r="AHF29" s="5"/>
      <c r="AHG29" s="5"/>
      <c r="AHH29" s="5"/>
      <c r="AHI29" s="5"/>
      <c r="AHJ29" s="5"/>
      <c r="AHK29" s="5"/>
      <c r="AHL29" s="5"/>
      <c r="AHM29" s="5"/>
      <c r="AHN29" s="5"/>
      <c r="AHO29" s="5"/>
      <c r="AHP29" s="5"/>
      <c r="AHQ29" s="5"/>
      <c r="AHR29" s="5"/>
      <c r="AHS29" s="5"/>
      <c r="AHT29" s="5"/>
      <c r="AHU29" s="5"/>
      <c r="AHV29" s="5"/>
      <c r="AHW29" s="5"/>
      <c r="AHX29" s="5"/>
      <c r="AHY29" s="5"/>
      <c r="AHZ29" s="5"/>
      <c r="AIA29" s="5"/>
      <c r="AIB29" s="5"/>
      <c r="AIC29" s="5"/>
      <c r="AID29" s="5"/>
      <c r="AIE29" s="5"/>
      <c r="AIF29" s="5"/>
      <c r="AIG29" s="5"/>
      <c r="AIH29" s="5"/>
      <c r="AII29" s="5"/>
      <c r="AIJ29" s="5"/>
      <c r="AIK29" s="5"/>
      <c r="AIL29" s="5"/>
      <c r="AIM29" s="5"/>
      <c r="AIN29" s="5"/>
      <c r="AIO29" s="5"/>
      <c r="AIP29" s="5"/>
      <c r="AIQ29" s="5"/>
      <c r="AIR29" s="5"/>
      <c r="AIS29" s="5"/>
      <c r="AIT29" s="5"/>
      <c r="AIU29" s="5"/>
      <c r="AIV29" s="5"/>
      <c r="AIW29" s="5"/>
      <c r="AIX29" s="5"/>
      <c r="AIY29" s="5"/>
      <c r="AIZ29" s="5"/>
      <c r="AJA29" s="5"/>
      <c r="AJB29" s="5"/>
      <c r="AJC29" s="5"/>
      <c r="AJD29" s="5"/>
      <c r="AJE29" s="5"/>
      <c r="AJF29" s="5"/>
      <c r="AJG29" s="5"/>
      <c r="AJH29" s="5"/>
      <c r="AJI29" s="5"/>
      <c r="AJJ29" s="5"/>
      <c r="AJK29" s="5"/>
      <c r="AJL29" s="5"/>
      <c r="AJM29" s="5"/>
      <c r="AJN29" s="5"/>
      <c r="AJO29" s="5"/>
      <c r="AJP29" s="5"/>
      <c r="AJQ29" s="5"/>
      <c r="AJR29" s="5"/>
      <c r="AJS29" s="5"/>
      <c r="AJT29" s="5"/>
      <c r="AJU29" s="5"/>
      <c r="AJV29" s="5"/>
      <c r="AJW29" s="5"/>
      <c r="AJX29" s="5"/>
      <c r="AJY29" s="5"/>
      <c r="AJZ29" s="5"/>
      <c r="AKA29" s="5"/>
      <c r="AKB29" s="5"/>
      <c r="AKC29" s="5"/>
      <c r="AKD29" s="5"/>
      <c r="AKE29" s="5"/>
      <c r="AKF29" s="5"/>
      <c r="AKG29" s="5"/>
      <c r="AKH29" s="5"/>
      <c r="AKI29" s="5"/>
      <c r="AKJ29" s="5"/>
      <c r="AKK29" s="5"/>
      <c r="AKL29" s="5"/>
      <c r="AKM29" s="5"/>
      <c r="AKN29" s="5"/>
      <c r="AKO29" s="5"/>
      <c r="AKP29" s="5"/>
      <c r="AKQ29" s="5"/>
      <c r="AKR29" s="5"/>
      <c r="AKS29" s="5"/>
      <c r="AKT29" s="5"/>
      <c r="AKU29" s="5"/>
      <c r="AKV29" s="5"/>
      <c r="AKW29" s="5"/>
      <c r="AKX29" s="5"/>
      <c r="AKY29" s="5"/>
      <c r="AKZ29" s="5"/>
      <c r="ALA29" s="5"/>
      <c r="ALB29" s="5"/>
      <c r="ALC29" s="5"/>
      <c r="ALD29" s="5"/>
      <c r="ALE29" s="5"/>
      <c r="ALF29" s="5"/>
      <c r="ALG29" s="5"/>
      <c r="ALH29" s="5"/>
      <c r="ALI29" s="5"/>
      <c r="ALJ29" s="5"/>
      <c r="ALK29" s="5"/>
      <c r="ALL29" s="5"/>
      <c r="ALM29" s="5"/>
      <c r="ALN29" s="5"/>
      <c r="ALO29" s="5"/>
      <c r="ALP29" s="5"/>
      <c r="ALQ29" s="5"/>
      <c r="ALR29" s="5"/>
      <c r="ALS29" s="5"/>
      <c r="ALT29" s="5"/>
      <c r="ALU29" s="5"/>
      <c r="ALV29" s="5"/>
      <c r="ALW29" s="5"/>
      <c r="ALX29" s="5"/>
      <c r="ALY29" s="5"/>
      <c r="ALZ29" s="5"/>
      <c r="AMA29" s="5"/>
      <c r="AMB29" s="5"/>
      <c r="AMC29" s="5"/>
      <c r="AMD29" s="5"/>
      <c r="AME29" s="5"/>
      <c r="AMF29" s="5"/>
    </row>
    <row r="30" spans="1:1020" s="8" customFormat="1" x14ac:dyDescent="0.2">
      <c r="A30" s="11" t="s">
        <v>122</v>
      </c>
      <c r="B30" s="11" t="s">
        <v>70</v>
      </c>
      <c r="C30" s="11" t="s">
        <v>25</v>
      </c>
      <c r="D30" s="11" t="s">
        <v>27</v>
      </c>
      <c r="E30" s="5">
        <v>7</v>
      </c>
      <c r="F30" s="11" t="s">
        <v>30</v>
      </c>
      <c r="G30" s="11" t="s">
        <v>96</v>
      </c>
      <c r="H30" s="11" t="s">
        <v>96</v>
      </c>
      <c r="I30" s="5" t="s">
        <v>123</v>
      </c>
      <c r="J30" s="5" t="s">
        <v>124</v>
      </c>
      <c r="K30" s="11">
        <v>2</v>
      </c>
      <c r="L30" s="11" t="s">
        <v>91</v>
      </c>
      <c r="M30" s="5"/>
      <c r="N30" s="5"/>
      <c r="O30" s="5" t="str">
        <f>"Opn4_bulkRNAseq/"&amp;A30&amp;"/outputs/40hisat2_mm38_100/mm38_100_genome-paired_gene_sreverse_gene_ID.count.xz"</f>
        <v>Opn4_bulkRNAseq/S4_Het_dLGN_S11/outputs/40hisat2_mm38_100/mm38_100_genome-paired_gene_sreverse_gene_ID.count.xz</v>
      </c>
      <c r="P30" s="1" t="str">
        <f>"Opn4_bulkRNAseq/"&amp;A30&amp;"/outputs/45salmon_mm38_100/quant.sf"</f>
        <v>Opn4_bulkRNAseq/S4_Het_dLGN_S11/outputs/45salmon_mm38_100/quant.sf</v>
      </c>
      <c r="Q30" s="5">
        <v>11025172</v>
      </c>
      <c r="R30" s="5">
        <v>10061279</v>
      </c>
      <c r="S30" s="6">
        <f t="shared" si="4"/>
        <v>0.91257342742589409</v>
      </c>
      <c r="T30" s="5">
        <v>301313</v>
      </c>
      <c r="U30" s="5">
        <v>245130</v>
      </c>
      <c r="V30" s="5">
        <v>417450</v>
      </c>
      <c r="W30" s="5"/>
      <c r="X30" s="5"/>
      <c r="Y30" s="7">
        <f t="shared" si="3"/>
        <v>0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  <c r="KK30" s="5"/>
      <c r="KL30" s="5"/>
      <c r="KM30" s="5"/>
      <c r="KN30" s="5"/>
      <c r="KO30" s="5"/>
      <c r="KP30" s="5"/>
      <c r="KQ30" s="5"/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  <c r="LZ30" s="5"/>
      <c r="MA30" s="5"/>
      <c r="MB30" s="5"/>
      <c r="MC30" s="5"/>
      <c r="MD30" s="5"/>
      <c r="ME30" s="5"/>
      <c r="MF30" s="5"/>
      <c r="MG30" s="5"/>
      <c r="MH30" s="5"/>
      <c r="MI30" s="5"/>
      <c r="MJ30" s="5"/>
      <c r="MK30" s="5"/>
      <c r="ML30" s="5"/>
      <c r="MM30" s="5"/>
      <c r="MN30" s="5"/>
      <c r="MO30" s="5"/>
      <c r="MP30" s="5"/>
      <c r="MQ30" s="5"/>
      <c r="MR30" s="5"/>
      <c r="MS30" s="5"/>
      <c r="MT30" s="5"/>
      <c r="MU30" s="5"/>
      <c r="MV30" s="5"/>
      <c r="MW30" s="5"/>
      <c r="MX30" s="5"/>
      <c r="MY30" s="5"/>
      <c r="MZ30" s="5"/>
      <c r="NA30" s="5"/>
      <c r="NB30" s="5"/>
      <c r="NC30" s="5"/>
      <c r="ND30" s="5"/>
      <c r="NE30" s="5"/>
      <c r="NF30" s="5"/>
      <c r="NG30" s="5"/>
      <c r="NH30" s="5"/>
      <c r="NI30" s="5"/>
      <c r="NJ30" s="5"/>
      <c r="NK30" s="5"/>
      <c r="NL30" s="5"/>
      <c r="NM30" s="5"/>
      <c r="NN30" s="5"/>
      <c r="NO30" s="5"/>
      <c r="NP30" s="5"/>
      <c r="NQ30" s="5"/>
      <c r="NR30" s="5"/>
      <c r="NS30" s="5"/>
      <c r="NT30" s="5"/>
      <c r="NU30" s="5"/>
      <c r="NV30" s="5"/>
      <c r="NW30" s="5"/>
      <c r="NX30" s="5"/>
      <c r="NY30" s="5"/>
      <c r="NZ30" s="5"/>
      <c r="OA30" s="5"/>
      <c r="OB30" s="5"/>
      <c r="OC30" s="5"/>
      <c r="OD30" s="5"/>
      <c r="OE30" s="5"/>
      <c r="OF30" s="5"/>
      <c r="OG30" s="5"/>
      <c r="OH30" s="5"/>
      <c r="OI30" s="5"/>
      <c r="OJ30" s="5"/>
      <c r="OK30" s="5"/>
      <c r="OL30" s="5"/>
      <c r="OM30" s="5"/>
      <c r="ON30" s="5"/>
      <c r="OO30" s="5"/>
      <c r="OP30" s="5"/>
      <c r="OQ30" s="5"/>
      <c r="OR30" s="5"/>
      <c r="OS30" s="5"/>
      <c r="OT30" s="5"/>
      <c r="OU30" s="5"/>
      <c r="OV30" s="5"/>
      <c r="OW30" s="5"/>
      <c r="OX30" s="5"/>
      <c r="OY30" s="5"/>
      <c r="OZ30" s="5"/>
      <c r="PA30" s="5"/>
      <c r="PB30" s="5"/>
      <c r="PC30" s="5"/>
      <c r="PD30" s="5"/>
      <c r="PE30" s="5"/>
      <c r="PF30" s="5"/>
      <c r="PG30" s="5"/>
      <c r="PH30" s="5"/>
      <c r="PI30" s="5"/>
      <c r="PJ30" s="5"/>
      <c r="PK30" s="5"/>
      <c r="PL30" s="5"/>
      <c r="PM30" s="5"/>
      <c r="PN30" s="5"/>
      <c r="PO30" s="5"/>
      <c r="PP30" s="5"/>
      <c r="PQ30" s="5"/>
      <c r="PR30" s="5"/>
      <c r="PS30" s="5"/>
      <c r="PT30" s="5"/>
      <c r="PU30" s="5"/>
      <c r="PV30" s="5"/>
      <c r="PW30" s="5"/>
      <c r="PX30" s="5"/>
      <c r="PY30" s="5"/>
      <c r="PZ30" s="5"/>
      <c r="QA30" s="5"/>
      <c r="QB30" s="5"/>
      <c r="QC30" s="5"/>
      <c r="QD30" s="5"/>
      <c r="QE30" s="5"/>
      <c r="QF30" s="5"/>
      <c r="QG30" s="5"/>
      <c r="QH30" s="5"/>
      <c r="QI30" s="5"/>
      <c r="QJ30" s="5"/>
      <c r="QK30" s="5"/>
      <c r="QL30" s="5"/>
      <c r="QM30" s="5"/>
      <c r="QN30" s="5"/>
      <c r="QO30" s="5"/>
      <c r="QP30" s="5"/>
      <c r="QQ30" s="5"/>
      <c r="QR30" s="5"/>
      <c r="QS30" s="5"/>
      <c r="QT30" s="5"/>
      <c r="QU30" s="5"/>
      <c r="QV30" s="5"/>
      <c r="QW30" s="5"/>
      <c r="QX30" s="5"/>
      <c r="QY30" s="5"/>
      <c r="QZ30" s="5"/>
      <c r="RA30" s="5"/>
      <c r="RB30" s="5"/>
      <c r="RC30" s="5"/>
      <c r="RD30" s="5"/>
      <c r="RE30" s="5"/>
      <c r="RF30" s="5"/>
      <c r="RG30" s="5"/>
      <c r="RH30" s="5"/>
      <c r="RI30" s="5"/>
      <c r="RJ30" s="5"/>
      <c r="RK30" s="5"/>
      <c r="RL30" s="5"/>
      <c r="RM30" s="5"/>
      <c r="RN30" s="5"/>
      <c r="RO30" s="5"/>
      <c r="RP30" s="5"/>
      <c r="RQ30" s="5"/>
      <c r="RR30" s="5"/>
      <c r="RS30" s="5"/>
      <c r="RT30" s="5"/>
      <c r="RU30" s="5"/>
      <c r="RV30" s="5"/>
      <c r="RW30" s="5"/>
      <c r="RX30" s="5"/>
      <c r="RY30" s="5"/>
      <c r="RZ30" s="5"/>
      <c r="SA30" s="5"/>
      <c r="SB30" s="5"/>
      <c r="SC30" s="5"/>
      <c r="SD30" s="5"/>
      <c r="SE30" s="5"/>
      <c r="SF30" s="5"/>
      <c r="SG30" s="5"/>
      <c r="SH30" s="5"/>
      <c r="SI30" s="5"/>
      <c r="SJ30" s="5"/>
      <c r="SK30" s="5"/>
      <c r="SL30" s="5"/>
      <c r="SM30" s="5"/>
      <c r="SN30" s="5"/>
      <c r="SO30" s="5"/>
      <c r="SP30" s="5"/>
      <c r="SQ30" s="5"/>
      <c r="SR30" s="5"/>
      <c r="SS30" s="5"/>
      <c r="ST30" s="5"/>
      <c r="SU30" s="5"/>
      <c r="SV30" s="5"/>
      <c r="SW30" s="5"/>
      <c r="SX30" s="5"/>
      <c r="SY30" s="5"/>
      <c r="SZ30" s="5"/>
      <c r="TA30" s="5"/>
      <c r="TB30" s="5"/>
      <c r="TC30" s="5"/>
      <c r="TD30" s="5"/>
      <c r="TE30" s="5"/>
      <c r="TF30" s="5"/>
      <c r="TG30" s="5"/>
      <c r="TH30" s="5"/>
      <c r="TI30" s="5"/>
      <c r="TJ30" s="5"/>
      <c r="TK30" s="5"/>
      <c r="TL30" s="5"/>
      <c r="TM30" s="5"/>
      <c r="TN30" s="5"/>
      <c r="TO30" s="5"/>
      <c r="TP30" s="5"/>
      <c r="TQ30" s="5"/>
      <c r="TR30" s="5"/>
      <c r="TS30" s="5"/>
      <c r="TT30" s="5"/>
      <c r="TU30" s="5"/>
      <c r="TV30" s="5"/>
      <c r="TW30" s="5"/>
      <c r="TX30" s="5"/>
      <c r="TY30" s="5"/>
      <c r="TZ30" s="5"/>
      <c r="UA30" s="5"/>
      <c r="UB30" s="5"/>
      <c r="UC30" s="5"/>
      <c r="UD30" s="5"/>
      <c r="UE30" s="5"/>
      <c r="UF30" s="5"/>
      <c r="UG30" s="5"/>
      <c r="UH30" s="5"/>
      <c r="UI30" s="5"/>
      <c r="UJ30" s="5"/>
      <c r="UK30" s="5"/>
      <c r="UL30" s="5"/>
      <c r="UM30" s="5"/>
      <c r="UN30" s="5"/>
      <c r="UO30" s="5"/>
      <c r="UP30" s="5"/>
      <c r="UQ30" s="5"/>
      <c r="UR30" s="5"/>
      <c r="US30" s="5"/>
      <c r="UT30" s="5"/>
      <c r="UU30" s="5"/>
      <c r="UV30" s="5"/>
      <c r="UW30" s="5"/>
      <c r="UX30" s="5"/>
      <c r="UY30" s="5"/>
      <c r="UZ30" s="5"/>
      <c r="VA30" s="5"/>
      <c r="VB30" s="5"/>
      <c r="VC30" s="5"/>
      <c r="VD30" s="5"/>
      <c r="VE30" s="5"/>
      <c r="VF30" s="5"/>
      <c r="VG30" s="5"/>
      <c r="VH30" s="5"/>
      <c r="VI30" s="5"/>
      <c r="VJ30" s="5"/>
      <c r="VK30" s="5"/>
      <c r="VL30" s="5"/>
      <c r="VM30" s="5"/>
      <c r="VN30" s="5"/>
      <c r="VO30" s="5"/>
      <c r="VP30" s="5"/>
      <c r="VQ30" s="5"/>
      <c r="VR30" s="5"/>
      <c r="VS30" s="5"/>
      <c r="VT30" s="5"/>
      <c r="VU30" s="5"/>
      <c r="VV30" s="5"/>
      <c r="VW30" s="5"/>
      <c r="VX30" s="5"/>
      <c r="VY30" s="5"/>
      <c r="VZ30" s="5"/>
      <c r="WA30" s="5"/>
      <c r="WB30" s="5"/>
      <c r="WC30" s="5"/>
      <c r="WD30" s="5"/>
      <c r="WE30" s="5"/>
      <c r="WF30" s="5"/>
      <c r="WG30" s="5"/>
      <c r="WH30" s="5"/>
      <c r="WI30" s="5"/>
      <c r="WJ30" s="5"/>
      <c r="WK30" s="5"/>
      <c r="WL30" s="5"/>
      <c r="WM30" s="5"/>
      <c r="WN30" s="5"/>
      <c r="WO30" s="5"/>
      <c r="WP30" s="5"/>
      <c r="WQ30" s="5"/>
      <c r="WR30" s="5"/>
      <c r="WS30" s="5"/>
      <c r="WT30" s="5"/>
      <c r="WU30" s="5"/>
      <c r="WV30" s="5"/>
      <c r="WW30" s="5"/>
      <c r="WX30" s="5"/>
      <c r="WY30" s="5"/>
      <c r="WZ30" s="5"/>
      <c r="XA30" s="5"/>
      <c r="XB30" s="5"/>
      <c r="XC30" s="5"/>
      <c r="XD30" s="5"/>
      <c r="XE30" s="5"/>
      <c r="XF30" s="5"/>
      <c r="XG30" s="5"/>
      <c r="XH30" s="5"/>
      <c r="XI30" s="5"/>
      <c r="XJ30" s="5"/>
      <c r="XK30" s="5"/>
      <c r="XL30" s="5"/>
      <c r="XM30" s="5"/>
      <c r="XN30" s="5"/>
      <c r="XO30" s="5"/>
      <c r="XP30" s="5"/>
      <c r="XQ30" s="5"/>
      <c r="XR30" s="5"/>
      <c r="XS30" s="5"/>
      <c r="XT30" s="5"/>
      <c r="XU30" s="5"/>
      <c r="XV30" s="5"/>
      <c r="XW30" s="5"/>
      <c r="XX30" s="5"/>
      <c r="XY30" s="5"/>
      <c r="XZ30" s="5"/>
      <c r="YA30" s="5"/>
      <c r="YB30" s="5"/>
      <c r="YC30" s="5"/>
      <c r="YD30" s="5"/>
      <c r="YE30" s="5"/>
      <c r="YF30" s="5"/>
      <c r="YG30" s="5"/>
      <c r="YH30" s="5"/>
      <c r="YI30" s="5"/>
      <c r="YJ30" s="5"/>
      <c r="YK30" s="5"/>
      <c r="YL30" s="5"/>
      <c r="YM30" s="5"/>
      <c r="YN30" s="5"/>
      <c r="YO30" s="5"/>
      <c r="YP30" s="5"/>
      <c r="YQ30" s="5"/>
      <c r="YR30" s="5"/>
      <c r="YS30" s="5"/>
      <c r="YT30" s="5"/>
      <c r="YU30" s="5"/>
      <c r="YV30" s="5"/>
      <c r="YW30" s="5"/>
      <c r="YX30" s="5"/>
      <c r="YY30" s="5"/>
      <c r="YZ30" s="5"/>
      <c r="ZA30" s="5"/>
      <c r="ZB30" s="5"/>
      <c r="ZC30" s="5"/>
      <c r="ZD30" s="5"/>
      <c r="ZE30" s="5"/>
      <c r="ZF30" s="5"/>
      <c r="ZG30" s="5"/>
      <c r="ZH30" s="5"/>
      <c r="ZI30" s="5"/>
      <c r="ZJ30" s="5"/>
      <c r="ZK30" s="5"/>
      <c r="ZL30" s="5"/>
      <c r="ZM30" s="5"/>
      <c r="ZN30" s="5"/>
      <c r="ZO30" s="5"/>
      <c r="ZP30" s="5"/>
      <c r="ZQ30" s="5"/>
      <c r="ZR30" s="5"/>
      <c r="ZS30" s="5"/>
      <c r="ZT30" s="5"/>
      <c r="ZU30" s="5"/>
      <c r="ZV30" s="5"/>
      <c r="ZW30" s="5"/>
      <c r="ZX30" s="5"/>
      <c r="ZY30" s="5"/>
      <c r="ZZ30" s="5"/>
      <c r="AAA30" s="5"/>
      <c r="AAB30" s="5"/>
      <c r="AAC30" s="5"/>
      <c r="AAD30" s="5"/>
      <c r="AAE30" s="5"/>
      <c r="AAF30" s="5"/>
      <c r="AAG30" s="5"/>
      <c r="AAH30" s="5"/>
      <c r="AAI30" s="5"/>
      <c r="AAJ30" s="5"/>
      <c r="AAK30" s="5"/>
      <c r="AAL30" s="5"/>
      <c r="AAM30" s="5"/>
      <c r="AAN30" s="5"/>
      <c r="AAO30" s="5"/>
      <c r="AAP30" s="5"/>
      <c r="AAQ30" s="5"/>
      <c r="AAR30" s="5"/>
      <c r="AAS30" s="5"/>
      <c r="AAT30" s="5"/>
      <c r="AAU30" s="5"/>
      <c r="AAV30" s="5"/>
      <c r="AAW30" s="5"/>
      <c r="AAX30" s="5"/>
      <c r="AAY30" s="5"/>
      <c r="AAZ30" s="5"/>
      <c r="ABA30" s="5"/>
      <c r="ABB30" s="5"/>
      <c r="ABC30" s="5"/>
      <c r="ABD30" s="5"/>
      <c r="ABE30" s="5"/>
      <c r="ABF30" s="5"/>
      <c r="ABG30" s="5"/>
      <c r="ABH30" s="5"/>
      <c r="ABI30" s="5"/>
      <c r="ABJ30" s="5"/>
      <c r="ABK30" s="5"/>
      <c r="ABL30" s="5"/>
      <c r="ABM30" s="5"/>
      <c r="ABN30" s="5"/>
      <c r="ABO30" s="5"/>
      <c r="ABP30" s="5"/>
      <c r="ABQ30" s="5"/>
      <c r="ABR30" s="5"/>
      <c r="ABS30" s="5"/>
      <c r="ABT30" s="5"/>
      <c r="ABU30" s="5"/>
      <c r="ABV30" s="5"/>
      <c r="ABW30" s="5"/>
      <c r="ABX30" s="5"/>
      <c r="ABY30" s="5"/>
      <c r="ABZ30" s="5"/>
      <c r="ACA30" s="5"/>
      <c r="ACB30" s="5"/>
      <c r="ACC30" s="5"/>
      <c r="ACD30" s="5"/>
      <c r="ACE30" s="5"/>
      <c r="ACF30" s="5"/>
      <c r="ACG30" s="5"/>
      <c r="ACH30" s="5"/>
      <c r="ACI30" s="5"/>
      <c r="ACJ30" s="5"/>
      <c r="ACK30" s="5"/>
      <c r="ACL30" s="5"/>
      <c r="ACM30" s="5"/>
      <c r="ACN30" s="5"/>
      <c r="ACO30" s="5"/>
      <c r="ACP30" s="5"/>
      <c r="ACQ30" s="5"/>
      <c r="ACR30" s="5"/>
      <c r="ACS30" s="5"/>
      <c r="ACT30" s="5"/>
      <c r="ACU30" s="5"/>
      <c r="ACV30" s="5"/>
      <c r="ACW30" s="5"/>
      <c r="ACX30" s="5"/>
      <c r="ACY30" s="5"/>
      <c r="ACZ30" s="5"/>
      <c r="ADA30" s="5"/>
      <c r="ADB30" s="5"/>
      <c r="ADC30" s="5"/>
      <c r="ADD30" s="5"/>
      <c r="ADE30" s="5"/>
      <c r="ADF30" s="5"/>
      <c r="ADG30" s="5"/>
      <c r="ADH30" s="5"/>
      <c r="ADI30" s="5"/>
      <c r="ADJ30" s="5"/>
      <c r="ADK30" s="5"/>
      <c r="ADL30" s="5"/>
      <c r="ADM30" s="5"/>
      <c r="ADN30" s="5"/>
      <c r="ADO30" s="5"/>
      <c r="ADP30" s="5"/>
      <c r="ADQ30" s="5"/>
      <c r="ADR30" s="5"/>
      <c r="ADS30" s="5"/>
      <c r="ADT30" s="5"/>
      <c r="ADU30" s="5"/>
      <c r="ADV30" s="5"/>
      <c r="ADW30" s="5"/>
      <c r="ADX30" s="5"/>
      <c r="ADY30" s="5"/>
      <c r="ADZ30" s="5"/>
      <c r="AEA30" s="5"/>
      <c r="AEB30" s="5"/>
      <c r="AEC30" s="5"/>
      <c r="AED30" s="5"/>
      <c r="AEE30" s="5"/>
      <c r="AEF30" s="5"/>
      <c r="AEG30" s="5"/>
      <c r="AEH30" s="5"/>
      <c r="AEI30" s="5"/>
      <c r="AEJ30" s="5"/>
      <c r="AEK30" s="5"/>
      <c r="AEL30" s="5"/>
      <c r="AEM30" s="5"/>
      <c r="AEN30" s="5"/>
      <c r="AEO30" s="5"/>
      <c r="AEP30" s="5"/>
      <c r="AEQ30" s="5"/>
      <c r="AER30" s="5"/>
      <c r="AES30" s="5"/>
      <c r="AET30" s="5"/>
      <c r="AEU30" s="5"/>
      <c r="AEV30" s="5"/>
      <c r="AEW30" s="5"/>
      <c r="AEX30" s="5"/>
      <c r="AEY30" s="5"/>
      <c r="AEZ30" s="5"/>
      <c r="AFA30" s="5"/>
      <c r="AFB30" s="5"/>
      <c r="AFC30" s="5"/>
      <c r="AFD30" s="5"/>
      <c r="AFE30" s="5"/>
      <c r="AFF30" s="5"/>
      <c r="AFG30" s="5"/>
      <c r="AFH30" s="5"/>
      <c r="AFI30" s="5"/>
      <c r="AFJ30" s="5"/>
      <c r="AFK30" s="5"/>
      <c r="AFL30" s="5"/>
      <c r="AFM30" s="5"/>
      <c r="AFN30" s="5"/>
      <c r="AFO30" s="5"/>
      <c r="AFP30" s="5"/>
      <c r="AFQ30" s="5"/>
      <c r="AFR30" s="5"/>
      <c r="AFS30" s="5"/>
      <c r="AFT30" s="5"/>
      <c r="AFU30" s="5"/>
      <c r="AFV30" s="5"/>
      <c r="AFW30" s="5"/>
      <c r="AFX30" s="5"/>
      <c r="AFY30" s="5"/>
      <c r="AFZ30" s="5"/>
      <c r="AGA30" s="5"/>
      <c r="AGB30" s="5"/>
      <c r="AGC30" s="5"/>
      <c r="AGD30" s="5"/>
      <c r="AGE30" s="5"/>
      <c r="AGF30" s="5"/>
      <c r="AGG30" s="5"/>
      <c r="AGH30" s="5"/>
      <c r="AGI30" s="5"/>
      <c r="AGJ30" s="5"/>
      <c r="AGK30" s="5"/>
      <c r="AGL30" s="5"/>
      <c r="AGM30" s="5"/>
      <c r="AGN30" s="5"/>
      <c r="AGO30" s="5"/>
      <c r="AGP30" s="5"/>
      <c r="AGQ30" s="5"/>
      <c r="AGR30" s="5"/>
      <c r="AGS30" s="5"/>
      <c r="AGT30" s="5"/>
      <c r="AGU30" s="5"/>
      <c r="AGV30" s="5"/>
      <c r="AGW30" s="5"/>
      <c r="AGX30" s="5"/>
      <c r="AGY30" s="5"/>
      <c r="AGZ30" s="5"/>
      <c r="AHA30" s="5"/>
      <c r="AHB30" s="5"/>
      <c r="AHC30" s="5"/>
      <c r="AHD30" s="5"/>
      <c r="AHE30" s="5"/>
      <c r="AHF30" s="5"/>
      <c r="AHG30" s="5"/>
      <c r="AHH30" s="5"/>
      <c r="AHI30" s="5"/>
      <c r="AHJ30" s="5"/>
      <c r="AHK30" s="5"/>
      <c r="AHL30" s="5"/>
      <c r="AHM30" s="5"/>
      <c r="AHN30" s="5"/>
      <c r="AHO30" s="5"/>
      <c r="AHP30" s="5"/>
      <c r="AHQ30" s="5"/>
      <c r="AHR30" s="5"/>
      <c r="AHS30" s="5"/>
      <c r="AHT30" s="5"/>
      <c r="AHU30" s="5"/>
      <c r="AHV30" s="5"/>
      <c r="AHW30" s="5"/>
      <c r="AHX30" s="5"/>
      <c r="AHY30" s="5"/>
      <c r="AHZ30" s="5"/>
      <c r="AIA30" s="5"/>
      <c r="AIB30" s="5"/>
      <c r="AIC30" s="5"/>
      <c r="AID30" s="5"/>
      <c r="AIE30" s="5"/>
      <c r="AIF30" s="5"/>
      <c r="AIG30" s="5"/>
      <c r="AIH30" s="5"/>
      <c r="AII30" s="5"/>
      <c r="AIJ30" s="5"/>
      <c r="AIK30" s="5"/>
      <c r="AIL30" s="5"/>
      <c r="AIM30" s="5"/>
      <c r="AIN30" s="5"/>
      <c r="AIO30" s="5"/>
      <c r="AIP30" s="5"/>
      <c r="AIQ30" s="5"/>
      <c r="AIR30" s="5"/>
      <c r="AIS30" s="5"/>
      <c r="AIT30" s="5"/>
      <c r="AIU30" s="5"/>
      <c r="AIV30" s="5"/>
      <c r="AIW30" s="5"/>
      <c r="AIX30" s="5"/>
      <c r="AIY30" s="5"/>
      <c r="AIZ30" s="5"/>
      <c r="AJA30" s="5"/>
      <c r="AJB30" s="5"/>
      <c r="AJC30" s="5"/>
      <c r="AJD30" s="5"/>
      <c r="AJE30" s="5"/>
      <c r="AJF30" s="5"/>
      <c r="AJG30" s="5"/>
      <c r="AJH30" s="5"/>
      <c r="AJI30" s="5"/>
      <c r="AJJ30" s="5"/>
      <c r="AJK30" s="5"/>
      <c r="AJL30" s="5"/>
      <c r="AJM30" s="5"/>
      <c r="AJN30" s="5"/>
      <c r="AJO30" s="5"/>
      <c r="AJP30" s="5"/>
      <c r="AJQ30" s="5"/>
      <c r="AJR30" s="5"/>
      <c r="AJS30" s="5"/>
      <c r="AJT30" s="5"/>
      <c r="AJU30" s="5"/>
      <c r="AJV30" s="5"/>
      <c r="AJW30" s="5"/>
      <c r="AJX30" s="5"/>
      <c r="AJY30" s="5"/>
      <c r="AJZ30" s="5"/>
      <c r="AKA30" s="5"/>
      <c r="AKB30" s="5"/>
      <c r="AKC30" s="5"/>
      <c r="AKD30" s="5"/>
      <c r="AKE30" s="5"/>
      <c r="AKF30" s="5"/>
      <c r="AKG30" s="5"/>
      <c r="AKH30" s="5"/>
      <c r="AKI30" s="5"/>
      <c r="AKJ30" s="5"/>
      <c r="AKK30" s="5"/>
      <c r="AKL30" s="5"/>
      <c r="AKM30" s="5"/>
      <c r="AKN30" s="5"/>
      <c r="AKO30" s="5"/>
      <c r="AKP30" s="5"/>
      <c r="AKQ30" s="5"/>
      <c r="AKR30" s="5"/>
      <c r="AKS30" s="5"/>
      <c r="AKT30" s="5"/>
      <c r="AKU30" s="5"/>
      <c r="AKV30" s="5"/>
      <c r="AKW30" s="5"/>
      <c r="AKX30" s="5"/>
      <c r="AKY30" s="5"/>
      <c r="AKZ30" s="5"/>
      <c r="ALA30" s="5"/>
      <c r="ALB30" s="5"/>
      <c r="ALC30" s="5"/>
      <c r="ALD30" s="5"/>
      <c r="ALE30" s="5"/>
      <c r="ALF30" s="5"/>
      <c r="ALG30" s="5"/>
      <c r="ALH30" s="5"/>
      <c r="ALI30" s="5"/>
      <c r="ALJ30" s="5"/>
      <c r="ALK30" s="5"/>
      <c r="ALL30" s="5"/>
      <c r="ALM30" s="5"/>
      <c r="ALN30" s="5"/>
      <c r="ALO30" s="5"/>
      <c r="ALP30" s="5"/>
      <c r="ALQ30" s="5"/>
      <c r="ALR30" s="5"/>
      <c r="ALS30" s="5"/>
      <c r="ALT30" s="5"/>
      <c r="ALU30" s="5"/>
      <c r="ALV30" s="5"/>
      <c r="ALW30" s="5"/>
      <c r="ALX30" s="5"/>
      <c r="ALY30" s="5"/>
      <c r="ALZ30" s="5"/>
      <c r="AMA30" s="5"/>
      <c r="AMB30" s="5"/>
      <c r="AMC30" s="5"/>
      <c r="AMD30" s="5"/>
      <c r="AME30" s="5"/>
      <c r="AMF30" s="5"/>
    </row>
    <row r="31" spans="1:1020" x14ac:dyDescent="0.2">
      <c r="A31" s="12" t="s">
        <v>128</v>
      </c>
      <c r="B31" s="11" t="s">
        <v>72</v>
      </c>
      <c r="C31" s="11" t="s">
        <v>25</v>
      </c>
      <c r="D31" s="11" t="s">
        <v>28</v>
      </c>
      <c r="E31" s="5">
        <v>7</v>
      </c>
      <c r="F31" s="11" t="s">
        <v>30</v>
      </c>
      <c r="G31" s="11" t="s">
        <v>100</v>
      </c>
      <c r="H31" s="11" t="s">
        <v>100</v>
      </c>
      <c r="I31" s="5" t="s">
        <v>132</v>
      </c>
      <c r="J31" t="str">
        <f>A31&amp;"_R2_001.fastq.gz"</f>
        <v>S4_Het_SCN_S12_R2_001.fastq.gz</v>
      </c>
      <c r="K31" s="11">
        <v>2</v>
      </c>
      <c r="L31" s="11" t="s">
        <v>91</v>
      </c>
      <c r="O31" s="5" t="str">
        <f>"Opn4_bulkRNAseq/"&amp;A31&amp;"/outputs/40hisat2_mm38_100/mm38_100_genome-paired_gene_sreverse_gene_ID.count.xz"</f>
        <v>Opn4_bulkRNAseq/S4_Het_SCN_S12/outputs/40hisat2_mm38_100/mm38_100_genome-paired_gene_sreverse_gene_ID.count.xz</v>
      </c>
      <c r="P31" s="1" t="str">
        <f>"Opn4_bulkRNAseq/"&amp;A31&amp;"/outputs/45salmon_mm38_100/quant.sf"</f>
        <v>Opn4_bulkRNAseq/S4_Het_SCN_S12/outputs/45salmon_mm38_100/quant.sf</v>
      </c>
    </row>
    <row r="32" spans="1:1020" x14ac:dyDescent="0.2">
      <c r="A32" s="12" t="s">
        <v>126</v>
      </c>
      <c r="B32" s="11" t="s">
        <v>77</v>
      </c>
      <c r="C32" s="11" t="s">
        <v>25</v>
      </c>
      <c r="D32" s="11" t="s">
        <v>29</v>
      </c>
      <c r="E32" s="5">
        <v>8</v>
      </c>
      <c r="F32" s="11" t="s">
        <v>30</v>
      </c>
      <c r="G32" s="11" t="s">
        <v>92</v>
      </c>
      <c r="H32" s="11" t="s">
        <v>92</v>
      </c>
      <c r="I32" s="5" t="s">
        <v>133</v>
      </c>
      <c r="J32" t="str">
        <f t="shared" ref="J32:J37" si="5">A32&amp;"_R2_001.fastq.gz"</f>
        <v>S5_Het_Ret_S13_R2_001.fastq.gz</v>
      </c>
      <c r="K32" s="11">
        <v>2</v>
      </c>
      <c r="L32" s="11" t="s">
        <v>91</v>
      </c>
      <c r="O32" s="5" t="str">
        <f>"Opn4_bulkRNAseq/"&amp;A32&amp;"/outputs/40hisat2_mm38_100/mm38_100_genome-paired_gene_sreverse_gene_ID.count.xz"</f>
        <v>Opn4_bulkRNAseq/S5_Het_Ret_S13/outputs/40hisat2_mm38_100/mm38_100_genome-paired_gene_sreverse_gene_ID.count.xz</v>
      </c>
      <c r="P32" s="1" t="str">
        <f>"Opn4_bulkRNAseq/"&amp;A32&amp;"/outputs/45salmon_mm38_100/quant.sf"</f>
        <v>Opn4_bulkRNAseq/S5_Het_Ret_S13/outputs/45salmon_mm38_100/quant.sf</v>
      </c>
    </row>
    <row r="33" spans="1:27" x14ac:dyDescent="0.2">
      <c r="A33" s="12" t="s">
        <v>125</v>
      </c>
      <c r="B33" s="11" t="s">
        <v>76</v>
      </c>
      <c r="C33" s="11" t="s">
        <v>25</v>
      </c>
      <c r="D33" s="11" t="s">
        <v>27</v>
      </c>
      <c r="E33" s="5">
        <v>8</v>
      </c>
      <c r="F33" s="11" t="s">
        <v>30</v>
      </c>
      <c r="G33" s="11" t="s">
        <v>96</v>
      </c>
      <c r="H33" s="11" t="s">
        <v>96</v>
      </c>
      <c r="I33" s="5" t="str">
        <f>A33&amp;"_R1_001.fastq.gz"</f>
        <v>S5_Het_dLGN_S14_R1_001.fastq.gz</v>
      </c>
      <c r="J33" t="str">
        <f t="shared" si="5"/>
        <v>S5_Het_dLGN_S14_R2_001.fastq.gz</v>
      </c>
      <c r="K33" s="11">
        <v>2</v>
      </c>
      <c r="L33" s="11" t="s">
        <v>91</v>
      </c>
      <c r="O33" s="5" t="str">
        <f>"Opn4_bulkRNAseq/"&amp;A33&amp;"/outputs/40hisat2_mm38_100/mm38_100_genome-paired_gene_sreverse_gene_ID.count.xz"</f>
        <v>Opn4_bulkRNAseq/S5_Het_dLGN_S14/outputs/40hisat2_mm38_100/mm38_100_genome-paired_gene_sreverse_gene_ID.count.xz</v>
      </c>
      <c r="P33" s="1" t="str">
        <f>"Opn4_bulkRNAseq/"&amp;A33&amp;"/outputs/45salmon_mm38_100/quant.sf"</f>
        <v>Opn4_bulkRNAseq/S5_Het_dLGN_S14/outputs/45salmon_mm38_100/quant.sf</v>
      </c>
    </row>
    <row r="34" spans="1:27" x14ac:dyDescent="0.2">
      <c r="A34" s="12" t="s">
        <v>131</v>
      </c>
      <c r="B34" s="11" t="s">
        <v>78</v>
      </c>
      <c r="C34" s="11" t="s">
        <v>25</v>
      </c>
      <c r="D34" s="11" t="s">
        <v>28</v>
      </c>
      <c r="E34" s="5">
        <v>8</v>
      </c>
      <c r="F34" s="11" t="s">
        <v>30</v>
      </c>
      <c r="G34" s="11" t="s">
        <v>100</v>
      </c>
      <c r="H34" s="11" t="s">
        <v>100</v>
      </c>
      <c r="I34" s="5" t="str">
        <f t="shared" ref="I34:I37" si="6">A34&amp;"_R1_001.fastq.gz"</f>
        <v>S5_Het_SCN_S15_R1_001.fastq.gz</v>
      </c>
      <c r="J34" t="str">
        <f t="shared" si="5"/>
        <v>S5_Het_SCN_S15_R2_001.fastq.gz</v>
      </c>
      <c r="K34" s="11">
        <v>2</v>
      </c>
      <c r="L34" s="11" t="s">
        <v>91</v>
      </c>
      <c r="O34" s="5" t="str">
        <f>"Opn4_bulkRNAseq/"&amp;A34&amp;"/outputs/40hisat2_mm38_100/mm38_100_genome-paired_gene_sreverse_gene_ID.count.xz"</f>
        <v>Opn4_bulkRNAseq/S5_Het_SCN_S15/outputs/40hisat2_mm38_100/mm38_100_genome-paired_gene_sreverse_gene_ID.count.xz</v>
      </c>
      <c r="P34" s="1" t="str">
        <f>"Opn4_bulkRNAseq/"&amp;A34&amp;"/outputs/45salmon_mm38_100/quant.sf"</f>
        <v>Opn4_bulkRNAseq/S5_Het_SCN_S15/outputs/45salmon_mm38_100/quant.sf</v>
      </c>
    </row>
    <row r="35" spans="1:27" x14ac:dyDescent="0.2">
      <c r="A35" s="12" t="s">
        <v>130</v>
      </c>
      <c r="B35" s="11" t="s">
        <v>83</v>
      </c>
      <c r="C35" s="11" t="s">
        <v>26</v>
      </c>
      <c r="D35" s="11" t="s">
        <v>29</v>
      </c>
      <c r="E35" s="5">
        <v>4</v>
      </c>
      <c r="F35" s="11" t="s">
        <v>30</v>
      </c>
      <c r="G35" s="11" t="s">
        <v>135</v>
      </c>
      <c r="H35" s="11" t="s">
        <v>135</v>
      </c>
      <c r="I35" s="5" t="str">
        <f t="shared" si="6"/>
        <v>S4_KO_Ret_S16_R1_001.fastq.gz</v>
      </c>
      <c r="J35" t="str">
        <f t="shared" si="5"/>
        <v>S4_KO_Ret_S16_R2_001.fastq.gz</v>
      </c>
      <c r="K35" s="11">
        <v>2</v>
      </c>
      <c r="L35" s="11" t="s">
        <v>91</v>
      </c>
      <c r="O35" s="5" t="str">
        <f>"Opn4_bulkRNAseq/"&amp;A35&amp;"/outputs/40hisat2_mm38_100/mm38_100_genome-paired_gene_sreverse_gene_ID.count.xz"</f>
        <v>Opn4_bulkRNAseq/S4_KO_Ret_S16/outputs/40hisat2_mm38_100/mm38_100_genome-paired_gene_sreverse_gene_ID.count.xz</v>
      </c>
      <c r="P35" s="1" t="str">
        <f>"Opn4_bulkRNAseq/"&amp;A35&amp;"/outputs/45salmon_mm38_100/quant.sf"</f>
        <v>Opn4_bulkRNAseq/S4_KO_Ret_S16/outputs/45salmon_mm38_100/quant.sf</v>
      </c>
    </row>
    <row r="36" spans="1:27" x14ac:dyDescent="0.2">
      <c r="A36" s="12" t="s">
        <v>127</v>
      </c>
      <c r="B36" s="11" t="s">
        <v>82</v>
      </c>
      <c r="C36" s="11" t="s">
        <v>26</v>
      </c>
      <c r="D36" s="11" t="s">
        <v>27</v>
      </c>
      <c r="E36" s="5">
        <v>4</v>
      </c>
      <c r="F36" s="11" t="s">
        <v>30</v>
      </c>
      <c r="G36" s="11" t="s">
        <v>85</v>
      </c>
      <c r="H36" s="11" t="s">
        <v>85</v>
      </c>
      <c r="I36" s="5" t="str">
        <f t="shared" si="6"/>
        <v>S4_KO_dLGN_S17_R1_001.fastq.gz</v>
      </c>
      <c r="J36" t="str">
        <f t="shared" si="5"/>
        <v>S4_KO_dLGN_S17_R2_001.fastq.gz</v>
      </c>
      <c r="K36" s="11">
        <v>2</v>
      </c>
      <c r="L36" s="11" t="s">
        <v>91</v>
      </c>
      <c r="O36" s="5" t="str">
        <f>"Opn4_bulkRNAseq/"&amp;A36&amp;"/outputs/40hisat2_mm38_100/mm38_100_genome-paired_gene_sreverse_gene_ID.count.xz"</f>
        <v>Opn4_bulkRNAseq/S4_KO_dLGN_S17/outputs/40hisat2_mm38_100/mm38_100_genome-paired_gene_sreverse_gene_ID.count.xz</v>
      </c>
      <c r="P36" s="1" t="str">
        <f>"Opn4_bulkRNAseq/"&amp;A36&amp;"/outputs/45salmon_mm38_100/quant.sf"</f>
        <v>Opn4_bulkRNAseq/S4_KO_dLGN_S17/outputs/45salmon_mm38_100/quant.sf</v>
      </c>
    </row>
    <row r="37" spans="1:27" x14ac:dyDescent="0.2">
      <c r="A37" s="12" t="s">
        <v>129</v>
      </c>
      <c r="B37" s="11" t="s">
        <v>84</v>
      </c>
      <c r="C37" s="11" t="s">
        <v>26</v>
      </c>
      <c r="D37" s="11" t="s">
        <v>28</v>
      </c>
      <c r="E37" s="5">
        <v>4</v>
      </c>
      <c r="F37" s="11" t="s">
        <v>30</v>
      </c>
      <c r="G37" s="11" t="s">
        <v>134</v>
      </c>
      <c r="H37" s="11" t="s">
        <v>134</v>
      </c>
      <c r="I37" s="5" t="str">
        <f t="shared" si="6"/>
        <v>S4_KO_SCN_S18_R1_001.fastq.gz</v>
      </c>
      <c r="J37" t="str">
        <f t="shared" si="5"/>
        <v>S4_KO_SCN_S18_R2_001.fastq.gz</v>
      </c>
      <c r="K37" s="11">
        <v>2</v>
      </c>
      <c r="L37" s="11" t="s">
        <v>91</v>
      </c>
      <c r="O37" s="5" t="str">
        <f>"Opn4_bulkRNAseq/"&amp;A37&amp;"/outputs/40hisat2_mm38_100/mm38_100_genome-paired_gene_sreverse_gene_ID.count.xz"</f>
        <v>Opn4_bulkRNAseq/S4_KO_SCN_S18/outputs/40hisat2_mm38_100/mm38_100_genome-paired_gene_sreverse_gene_ID.count.xz</v>
      </c>
      <c r="P37" s="1" t="str">
        <f>"Opn4_bulkRNAseq/"&amp;A37&amp;"/outputs/45salmon_mm38_100/quant.sf"</f>
        <v>Opn4_bulkRNAseq/S4_KO_SCN_S18/outputs/45salmon_mm38_100/quant.sf</v>
      </c>
      <c r="R37" s="1"/>
      <c r="S37" s="1"/>
      <c r="T37" s="1"/>
      <c r="U37" s="1"/>
      <c r="V37" s="1"/>
      <c r="W37" s="1"/>
      <c r="X37" s="1"/>
      <c r="Y37" s="1"/>
      <c r="Z37" s="4"/>
      <c r="AA37" s="1"/>
    </row>
    <row r="38" spans="1:27" x14ac:dyDescent="0.2">
      <c r="A38" s="2" t="s">
        <v>156</v>
      </c>
      <c r="B38" s="10" t="s">
        <v>70</v>
      </c>
      <c r="C38" s="10" t="s">
        <v>158</v>
      </c>
      <c r="D38" s="10" t="s">
        <v>27</v>
      </c>
      <c r="E38" s="5">
        <v>1</v>
      </c>
      <c r="F38" s="11" t="s">
        <v>30</v>
      </c>
      <c r="G38" s="11" t="s">
        <v>159</v>
      </c>
      <c r="H38" s="11" t="s">
        <v>159</v>
      </c>
      <c r="I38" s="2" t="s">
        <v>155</v>
      </c>
      <c r="J38" s="2" t="s">
        <v>157</v>
      </c>
      <c r="K38" s="10">
        <v>3</v>
      </c>
      <c r="L38" s="10" t="s">
        <v>190</v>
      </c>
      <c r="O38" s="14" t="s">
        <v>191</v>
      </c>
      <c r="P38" s="2"/>
      <c r="Q38" s="2">
        <v>26818526</v>
      </c>
      <c r="R38" s="2">
        <v>24989118</v>
      </c>
      <c r="S38">
        <f t="shared" ref="S38:S42" si="7">ROUND(R38/Q38*100, 2)</f>
        <v>93.18</v>
      </c>
      <c r="V38" s="2"/>
    </row>
    <row r="39" spans="1:27" x14ac:dyDescent="0.2">
      <c r="A39" s="2" t="s">
        <v>162</v>
      </c>
      <c r="B39" s="11" t="s">
        <v>84</v>
      </c>
      <c r="C39" s="11" t="s">
        <v>158</v>
      </c>
      <c r="D39" s="11" t="s">
        <v>28</v>
      </c>
      <c r="E39" s="5">
        <v>1</v>
      </c>
      <c r="F39" s="11" t="s">
        <v>30</v>
      </c>
      <c r="G39" s="11" t="s">
        <v>163</v>
      </c>
      <c r="H39" s="11" t="s">
        <v>163</v>
      </c>
      <c r="I39" s="2" t="s">
        <v>160</v>
      </c>
      <c r="J39" s="2" t="s">
        <v>161</v>
      </c>
      <c r="K39" s="11">
        <v>3</v>
      </c>
      <c r="L39" s="10" t="s">
        <v>190</v>
      </c>
      <c r="O39" s="14" t="str">
        <f>"preprocessing_230707/"&amp;A39&amp;"/outputs/40hisat2_mm38_100/mm38_100_genome-paired_sreverse_gene_ID.count.xz"</f>
        <v>preprocessing_230707/S4_SCN_WT_S18/outputs/40hisat2_mm38_100/mm38_100_genome-paired_sreverse_gene_ID.count.xz</v>
      </c>
      <c r="P39" s="2"/>
      <c r="Q39" s="2">
        <v>27415760</v>
      </c>
      <c r="R39" s="2">
        <v>25934099</v>
      </c>
      <c r="S39">
        <f t="shared" si="7"/>
        <v>94.6</v>
      </c>
      <c r="V39" s="2"/>
    </row>
    <row r="40" spans="1:27" x14ac:dyDescent="0.2">
      <c r="A40" s="2" t="s">
        <v>167</v>
      </c>
      <c r="B40" s="11" t="s">
        <v>80</v>
      </c>
      <c r="C40" s="11" t="s">
        <v>158</v>
      </c>
      <c r="D40" s="11" t="s">
        <v>29</v>
      </c>
      <c r="E40" s="5">
        <v>1</v>
      </c>
      <c r="F40" s="11" t="s">
        <v>30</v>
      </c>
      <c r="G40" s="11" t="s">
        <v>166</v>
      </c>
      <c r="H40" s="11" t="s">
        <v>166</v>
      </c>
      <c r="I40" s="2" t="s">
        <v>164</v>
      </c>
      <c r="J40" s="2" t="s">
        <v>165</v>
      </c>
      <c r="K40" s="11">
        <v>3</v>
      </c>
      <c r="L40" s="10" t="s">
        <v>190</v>
      </c>
      <c r="O40" s="14" t="str">
        <f>"preprocessing_230707/"&amp;A40&amp;"/outputs/40hisat2_mm38_100/mm38_100_genome-paired_sreverse_gene_ID.count.xz"</f>
        <v>preprocessing_230707/S4_Ret_WT_S4/outputs/40hisat2_mm38_100/mm38_100_genome-paired_sreverse_gene_ID.count.xz</v>
      </c>
      <c r="P40" s="2"/>
      <c r="Q40" s="2">
        <v>22271376</v>
      </c>
      <c r="R40" s="2">
        <v>21032135</v>
      </c>
      <c r="S40">
        <f t="shared" si="7"/>
        <v>94.44</v>
      </c>
      <c r="V40" s="2"/>
    </row>
    <row r="41" spans="1:27" x14ac:dyDescent="0.2">
      <c r="A41" s="2" t="s">
        <v>170</v>
      </c>
      <c r="B41" s="11" t="s">
        <v>71</v>
      </c>
      <c r="C41" s="11" t="s">
        <v>158</v>
      </c>
      <c r="D41" s="11" t="s">
        <v>27</v>
      </c>
      <c r="E41" s="5">
        <v>2</v>
      </c>
      <c r="F41" s="11" t="s">
        <v>30</v>
      </c>
      <c r="G41" s="11" t="s">
        <v>159</v>
      </c>
      <c r="H41" s="11" t="s">
        <v>159</v>
      </c>
      <c r="I41" s="2" t="s">
        <v>168</v>
      </c>
      <c r="J41" s="2" t="s">
        <v>169</v>
      </c>
      <c r="K41" s="11">
        <v>3</v>
      </c>
      <c r="L41" s="10" t="s">
        <v>190</v>
      </c>
      <c r="O41" s="14" t="str">
        <f>"preprocessing_230707/"&amp;A41&amp;"/outputs/40hisat2_mm38_100/mm38_100_genome-paired_sreverse_gene_ID.count.xz"</f>
        <v>preprocessing_230707/S3_dLGN_WT_S10/outputs/40hisat2_mm38_100/mm38_100_genome-paired_sreverse_gene_ID.count.xz</v>
      </c>
      <c r="P41" s="2"/>
      <c r="Q41" s="2">
        <v>21514906</v>
      </c>
      <c r="R41" s="2">
        <v>20220983</v>
      </c>
      <c r="S41">
        <f t="shared" si="7"/>
        <v>93.99</v>
      </c>
      <c r="V41" s="2"/>
    </row>
    <row r="42" spans="1:27" x14ac:dyDescent="0.2">
      <c r="A42" s="2" t="s">
        <v>173</v>
      </c>
      <c r="B42" s="11" t="s">
        <v>76</v>
      </c>
      <c r="C42" s="11" t="s">
        <v>25</v>
      </c>
      <c r="D42" s="11" t="s">
        <v>27</v>
      </c>
      <c r="E42">
        <v>2</v>
      </c>
      <c r="F42" s="11" t="s">
        <v>30</v>
      </c>
      <c r="G42" s="11" t="s">
        <v>96</v>
      </c>
      <c r="H42" s="11" t="s">
        <v>96</v>
      </c>
      <c r="I42" s="2" t="s">
        <v>171</v>
      </c>
      <c r="J42" s="2" t="s">
        <v>172</v>
      </c>
      <c r="K42" s="11">
        <v>3</v>
      </c>
      <c r="L42" s="10" t="s">
        <v>190</v>
      </c>
      <c r="O42" s="14" t="str">
        <f>"preprocessing_230707/"&amp;A42&amp;"/outputs/40hisat2_mm38_100/mm38_100_genome-paired_sreverse_gene_ID.count.xz"</f>
        <v>preprocessing_230707/S3_dLGN_Het_S14/outputs/40hisat2_mm38_100/mm38_100_genome-paired_sreverse_gene_ID.count.xz</v>
      </c>
      <c r="P42" s="2"/>
      <c r="Q42" s="2">
        <v>9465319</v>
      </c>
      <c r="R42" s="2">
        <v>8910410</v>
      </c>
      <c r="S42">
        <f t="shared" si="7"/>
        <v>94.14</v>
      </c>
      <c r="V42" s="2"/>
    </row>
    <row r="43" spans="1:27" x14ac:dyDescent="0.2">
      <c r="A43" s="13" t="s">
        <v>174</v>
      </c>
      <c r="B43" s="11" t="s">
        <v>72</v>
      </c>
      <c r="C43" s="11" t="s">
        <v>25</v>
      </c>
      <c r="D43" s="11" t="s">
        <v>27</v>
      </c>
      <c r="E43" s="5">
        <v>9</v>
      </c>
      <c r="F43" s="11" t="s">
        <v>30</v>
      </c>
      <c r="G43" s="11" t="s">
        <v>96</v>
      </c>
      <c r="H43" s="11" t="s">
        <v>96</v>
      </c>
      <c r="I43" t="str">
        <f>A43&amp;"_R1_001.fastq.gz"</f>
        <v>S1_dLGN_Het_S12_R1_001.fastq.gz</v>
      </c>
      <c r="J43" t="str">
        <f>A43&amp;"_R2_001.fastq.gz"</f>
        <v>S1_dLGN_Het_S12_R2_001.fastq.gz</v>
      </c>
      <c r="K43" s="11">
        <v>3</v>
      </c>
      <c r="L43" s="10" t="s">
        <v>190</v>
      </c>
      <c r="O43" s="14" t="str">
        <f>"preprocessing_230707/"&amp;A43&amp;"/outputs/40hisat2_mm38_100/mm38_100_genome-paired_sreverse_gene_ID.count.xz"</f>
        <v>preprocessing_230707/S1_dLGN_Het_S12/outputs/40hisat2_mm38_100/mm38_100_genome-paired_sreverse_gene_ID.count.xz</v>
      </c>
      <c r="P43" s="13"/>
      <c r="Q43" s="2">
        <v>26830119</v>
      </c>
      <c r="R43" s="2">
        <v>25138910</v>
      </c>
      <c r="S43">
        <f>ROUND(R43/Q43*100, 2)</f>
        <v>93.7</v>
      </c>
      <c r="V43" s="2"/>
    </row>
    <row r="44" spans="1:27" x14ac:dyDescent="0.2">
      <c r="A44" s="13" t="s">
        <v>175</v>
      </c>
      <c r="B44" s="11" t="s">
        <v>67</v>
      </c>
      <c r="C44" s="11" t="s">
        <v>158</v>
      </c>
      <c r="D44" s="11" t="s">
        <v>27</v>
      </c>
      <c r="E44" s="5">
        <v>10</v>
      </c>
      <c r="F44" s="11" t="s">
        <v>30</v>
      </c>
      <c r="G44" t="str">
        <f>D44&amp;"_"&amp;C44</f>
        <v>dLGN_wt</v>
      </c>
      <c r="H44" t="str">
        <f>D44&amp;"_"&amp;C44</f>
        <v>dLGN_wt</v>
      </c>
      <c r="I44" t="str">
        <f t="shared" ref="I44:I52" si="8">A44&amp;"_R1_001.fastq.gz"</f>
        <v>S1_dLGN_WT_S8_R1_001.fastq.gz</v>
      </c>
      <c r="J44" t="str">
        <f t="shared" ref="J44:J52" si="9">A44&amp;"_R2_001.fastq.gz"</f>
        <v>S1_dLGN_WT_S8_R2_001.fastq.gz</v>
      </c>
      <c r="K44" s="11">
        <v>3</v>
      </c>
      <c r="L44" s="10" t="s">
        <v>190</v>
      </c>
      <c r="O44" s="14" t="str">
        <f>"preprocessing_230707/"&amp;A44&amp;"/outputs/40hisat2_mm38_100/mm38_100_genome-paired_sreverse_gene_ID.count.xz"</f>
        <v>preprocessing_230707/S1_dLGN_WT_S8/outputs/40hisat2_mm38_100/mm38_100_genome-paired_sreverse_gene_ID.count.xz</v>
      </c>
      <c r="P44" s="13"/>
      <c r="Q44" s="2">
        <v>27159405</v>
      </c>
      <c r="R44" s="2">
        <v>25579331</v>
      </c>
      <c r="S44">
        <f>ROUND(R44/Q44*100, 2)</f>
        <v>94.18</v>
      </c>
      <c r="V44" s="2"/>
    </row>
    <row r="45" spans="1:27" x14ac:dyDescent="0.2">
      <c r="A45" s="13" t="s">
        <v>176</v>
      </c>
      <c r="B45" s="11" t="s">
        <v>79</v>
      </c>
      <c r="C45" s="11" t="s">
        <v>25</v>
      </c>
      <c r="D45" s="11" t="s">
        <v>29</v>
      </c>
      <c r="E45" s="5">
        <v>9</v>
      </c>
      <c r="F45" s="11" t="s">
        <v>30</v>
      </c>
      <c r="G45" t="str">
        <f t="shared" ref="G45:G58" si="10">D45&amp;"_"&amp;C45</f>
        <v>Retina_het</v>
      </c>
      <c r="H45" t="str">
        <f t="shared" ref="H45:H58" si="11">D45&amp;"_"&amp;C45</f>
        <v>Retina_het</v>
      </c>
      <c r="I45" t="str">
        <f t="shared" si="8"/>
        <v>S1_Ret_Het_S5_R1_001.fastq.gz</v>
      </c>
      <c r="J45" t="str">
        <f t="shared" si="9"/>
        <v>S1_Ret_Het_S5_R2_001.fastq.gz</v>
      </c>
      <c r="K45" s="11">
        <v>3</v>
      </c>
      <c r="L45" s="10" t="s">
        <v>190</v>
      </c>
      <c r="O45" s="14" t="str">
        <f>"preprocessing_230707/"&amp;A45&amp;"/outputs/40hisat2_mm38_100/mm38_100_genome-paired_sreverse_gene_ID.count.xz"</f>
        <v>preprocessing_230707/S1_Ret_Het_S5/outputs/40hisat2_mm38_100/mm38_100_genome-paired_sreverse_gene_ID.count.xz</v>
      </c>
      <c r="P45" s="13"/>
      <c r="Q45" s="2">
        <v>27149528</v>
      </c>
      <c r="R45" s="2">
        <v>25608860</v>
      </c>
      <c r="S45">
        <f>ROUND(R45/Q45*100, 2)</f>
        <v>94.33</v>
      </c>
      <c r="V45" s="2"/>
    </row>
    <row r="46" spans="1:27" x14ac:dyDescent="0.2">
      <c r="A46" s="13" t="s">
        <v>177</v>
      </c>
      <c r="B46" s="11" t="s">
        <v>74</v>
      </c>
      <c r="C46" s="11" t="s">
        <v>158</v>
      </c>
      <c r="D46" s="11" t="s">
        <v>29</v>
      </c>
      <c r="E46" s="5">
        <v>2</v>
      </c>
      <c r="F46" s="11" t="s">
        <v>30</v>
      </c>
      <c r="G46" t="str">
        <f t="shared" si="10"/>
        <v>Retina_wt</v>
      </c>
      <c r="H46" t="str">
        <f t="shared" si="11"/>
        <v>Retina_wt</v>
      </c>
      <c r="I46" t="str">
        <f t="shared" si="8"/>
        <v>S1_Ret_WT_S1_R1_001.fastq.gz</v>
      </c>
      <c r="J46" t="str">
        <f t="shared" si="9"/>
        <v>S1_Ret_WT_S1_R2_001.fastq.gz</v>
      </c>
      <c r="K46" s="11">
        <v>3</v>
      </c>
      <c r="L46" s="10" t="s">
        <v>190</v>
      </c>
      <c r="O46" s="14" t="str">
        <f>"preprocessing_230707/"&amp;A46&amp;"/outputs/40hisat2_mm38_100/mm38_100_genome-paired_sreverse_gene_ID.count.xz"</f>
        <v>preprocessing_230707/S1_Ret_WT_S1/outputs/40hisat2_mm38_100/mm38_100_genome-paired_sreverse_gene_ID.count.xz</v>
      </c>
      <c r="P46" s="13"/>
      <c r="Q46" s="2">
        <v>22908369</v>
      </c>
      <c r="R46" s="2">
        <v>21583844</v>
      </c>
      <c r="S46">
        <f t="shared" ref="S46:S58" si="12">ROUND(R46/Q46*100, 2)</f>
        <v>94.22</v>
      </c>
      <c r="V46" s="2"/>
    </row>
    <row r="47" spans="1:27" x14ac:dyDescent="0.2">
      <c r="A47" s="13" t="s">
        <v>178</v>
      </c>
      <c r="B47" s="11" t="s">
        <v>192</v>
      </c>
      <c r="C47" s="11" t="s">
        <v>25</v>
      </c>
      <c r="D47" s="11" t="s">
        <v>28</v>
      </c>
      <c r="E47" s="5">
        <v>9</v>
      </c>
      <c r="F47" s="11" t="s">
        <v>30</v>
      </c>
      <c r="G47" t="str">
        <f t="shared" si="10"/>
        <v>SCN_het</v>
      </c>
      <c r="H47" t="str">
        <f t="shared" si="11"/>
        <v>SCN_het</v>
      </c>
      <c r="I47" t="str">
        <f t="shared" si="8"/>
        <v>S1_SCN_Het_S19_R1_001.fastq.gz</v>
      </c>
      <c r="J47" t="str">
        <f t="shared" si="9"/>
        <v>S1_SCN_Het_S19_R2_001.fastq.gz</v>
      </c>
      <c r="K47" s="11">
        <v>3</v>
      </c>
      <c r="L47" s="10" t="s">
        <v>190</v>
      </c>
      <c r="O47" s="14" t="str">
        <f>"preprocessing_230707/"&amp;A47&amp;"/outputs/40hisat2_mm38_100/mm38_100_genome-paired_sreverse_gene_ID.count.xz"</f>
        <v>preprocessing_230707/S1_SCN_Het_S19/outputs/40hisat2_mm38_100/mm38_100_genome-paired_sreverse_gene_ID.count.xz</v>
      </c>
      <c r="P47" s="13"/>
      <c r="Q47" s="2">
        <v>35572574</v>
      </c>
      <c r="R47" s="2">
        <v>33580923</v>
      </c>
      <c r="S47">
        <f t="shared" si="12"/>
        <v>94.4</v>
      </c>
      <c r="V47" s="2"/>
    </row>
    <row r="48" spans="1:27" x14ac:dyDescent="0.2">
      <c r="A48" s="13" t="s">
        <v>179</v>
      </c>
      <c r="B48" s="11" t="s">
        <v>78</v>
      </c>
      <c r="C48" s="11" t="s">
        <v>158</v>
      </c>
      <c r="D48" s="11" t="s">
        <v>28</v>
      </c>
      <c r="E48" s="5">
        <v>2</v>
      </c>
      <c r="F48" s="11" t="s">
        <v>30</v>
      </c>
      <c r="G48" t="str">
        <f t="shared" si="10"/>
        <v>SCN_wt</v>
      </c>
      <c r="H48" t="str">
        <f t="shared" si="11"/>
        <v>SCN_wt</v>
      </c>
      <c r="I48" t="str">
        <f t="shared" si="8"/>
        <v>S1_SCN_WT_S15_R1_001.fastq.gz</v>
      </c>
      <c r="J48" t="str">
        <f t="shared" si="9"/>
        <v>S1_SCN_WT_S15_R2_001.fastq.gz</v>
      </c>
      <c r="K48" s="11">
        <v>3</v>
      </c>
      <c r="L48" s="10" t="s">
        <v>190</v>
      </c>
      <c r="O48" s="14" t="str">
        <f>"preprocessing_230707/"&amp;A48&amp;"/outputs/40hisat2_mm38_100/mm38_100_genome-paired_sreverse_gene_ID.count.xz"</f>
        <v>preprocessing_230707/S1_SCN_WT_S15/outputs/40hisat2_mm38_100/mm38_100_genome-paired_sreverse_gene_ID.count.xz</v>
      </c>
      <c r="P48" s="13"/>
      <c r="Q48" s="2">
        <v>25466913</v>
      </c>
      <c r="R48" s="2">
        <v>24060063</v>
      </c>
      <c r="S48">
        <f t="shared" si="12"/>
        <v>94.48</v>
      </c>
      <c r="V48" s="2"/>
    </row>
    <row r="49" spans="1:22" x14ac:dyDescent="0.2">
      <c r="A49" s="13" t="s">
        <v>180</v>
      </c>
      <c r="B49" s="11" t="s">
        <v>77</v>
      </c>
      <c r="C49" s="11" t="s">
        <v>25</v>
      </c>
      <c r="D49" s="11" t="s">
        <v>27</v>
      </c>
      <c r="E49" s="5">
        <v>10</v>
      </c>
      <c r="F49" s="11" t="s">
        <v>30</v>
      </c>
      <c r="G49" t="str">
        <f t="shared" si="10"/>
        <v>dLGN_het</v>
      </c>
      <c r="H49" t="str">
        <f t="shared" si="11"/>
        <v>dLGN_het</v>
      </c>
      <c r="I49" t="str">
        <f t="shared" si="8"/>
        <v>S2_dLGN_Het_S13_R1_001.fastq.gz</v>
      </c>
      <c r="J49" t="str">
        <f t="shared" si="9"/>
        <v>S2_dLGN_Het_S13_R2_001.fastq.gz</v>
      </c>
      <c r="K49" s="11">
        <v>3</v>
      </c>
      <c r="L49" s="10" t="s">
        <v>190</v>
      </c>
      <c r="O49" s="14" t="str">
        <f>"preprocessing_230707/"&amp;A49&amp;"/outputs/40hisat2_mm38_100/mm38_100_genome-paired_sreverse_gene_ID.count.xz"</f>
        <v>preprocessing_230707/S2_dLGN_Het_S13/outputs/40hisat2_mm38_100/mm38_100_genome-paired_sreverse_gene_ID.count.xz</v>
      </c>
      <c r="P49" s="13"/>
      <c r="Q49" s="2">
        <v>29161464</v>
      </c>
      <c r="R49" s="2">
        <v>27453287</v>
      </c>
      <c r="S49">
        <f t="shared" si="12"/>
        <v>94.14</v>
      </c>
      <c r="V49" s="2"/>
    </row>
    <row r="50" spans="1:22" x14ac:dyDescent="0.2">
      <c r="A50" s="13" t="s">
        <v>181</v>
      </c>
      <c r="B50" s="11" t="s">
        <v>69</v>
      </c>
      <c r="C50" s="11" t="s">
        <v>158</v>
      </c>
      <c r="D50" s="11" t="s">
        <v>27</v>
      </c>
      <c r="E50" s="5">
        <v>11</v>
      </c>
      <c r="F50" s="11" t="s">
        <v>30</v>
      </c>
      <c r="G50" t="str">
        <f t="shared" si="10"/>
        <v>dLGN_wt</v>
      </c>
      <c r="H50" t="str">
        <f t="shared" si="11"/>
        <v>dLGN_wt</v>
      </c>
      <c r="I50" t="str">
        <f t="shared" si="8"/>
        <v>S2_dLGN_WT_S9_R1_001.fastq.gz</v>
      </c>
      <c r="J50" t="str">
        <f t="shared" si="9"/>
        <v>S2_dLGN_WT_S9_R2_001.fastq.gz</v>
      </c>
      <c r="K50" s="11">
        <v>3</v>
      </c>
      <c r="L50" s="10" t="s">
        <v>190</v>
      </c>
      <c r="O50" s="14" t="str">
        <f>"preprocessing_230707/"&amp;A50&amp;"/outputs/40hisat2_mm38_100/mm38_100_genome-paired_sreverse_gene_ID.count.xz"</f>
        <v>preprocessing_230707/S2_dLGN_WT_S9/outputs/40hisat2_mm38_100/mm38_100_genome-paired_sreverse_gene_ID.count.xz</v>
      </c>
      <c r="P50" s="13"/>
      <c r="Q50" s="2">
        <v>24970349</v>
      </c>
      <c r="R50" s="2">
        <v>23416532</v>
      </c>
      <c r="S50">
        <f t="shared" si="12"/>
        <v>93.78</v>
      </c>
      <c r="V50" s="2"/>
    </row>
    <row r="51" spans="1:22" x14ac:dyDescent="0.2">
      <c r="A51" s="13" t="s">
        <v>182</v>
      </c>
      <c r="B51" s="11" t="s">
        <v>81</v>
      </c>
      <c r="C51" s="11" t="s">
        <v>25</v>
      </c>
      <c r="D51" s="11" t="s">
        <v>29</v>
      </c>
      <c r="E51" s="5">
        <v>10</v>
      </c>
      <c r="F51" s="11" t="s">
        <v>30</v>
      </c>
      <c r="G51" t="str">
        <f t="shared" si="10"/>
        <v>Retina_het</v>
      </c>
      <c r="H51" t="str">
        <f t="shared" si="11"/>
        <v>Retina_het</v>
      </c>
      <c r="I51" t="str">
        <f t="shared" si="8"/>
        <v>S2_Ret_Het_S6_R1_001.fastq.gz</v>
      </c>
      <c r="J51" t="str">
        <f t="shared" si="9"/>
        <v>S2_Ret_Het_S6_R2_001.fastq.gz</v>
      </c>
      <c r="K51" s="11">
        <v>3</v>
      </c>
      <c r="L51" s="10" t="s">
        <v>190</v>
      </c>
      <c r="O51" s="14" t="str">
        <f>"preprocessing_230707/"&amp;A51&amp;"/outputs/40hisat2_mm38_100/mm38_100_genome-paired_sreverse_gene_ID.count.xz"</f>
        <v>preprocessing_230707/S2_Ret_Het_S6/outputs/40hisat2_mm38_100/mm38_100_genome-paired_sreverse_gene_ID.count.xz</v>
      </c>
      <c r="P51" s="13"/>
      <c r="Q51" s="2">
        <v>23954663</v>
      </c>
      <c r="R51" s="2">
        <v>22598661</v>
      </c>
      <c r="S51">
        <f t="shared" si="12"/>
        <v>94.34</v>
      </c>
      <c r="V51" s="2"/>
    </row>
    <row r="52" spans="1:22" x14ac:dyDescent="0.2">
      <c r="A52" s="13" t="s">
        <v>183</v>
      </c>
      <c r="B52" s="11" t="s">
        <v>73</v>
      </c>
      <c r="C52" s="11" t="s">
        <v>158</v>
      </c>
      <c r="D52" s="11" t="s">
        <v>29</v>
      </c>
      <c r="E52" s="5">
        <v>3</v>
      </c>
      <c r="F52" s="11" t="s">
        <v>30</v>
      </c>
      <c r="G52" t="str">
        <f t="shared" si="10"/>
        <v>Retina_wt</v>
      </c>
      <c r="H52" t="str">
        <f t="shared" si="11"/>
        <v>Retina_wt</v>
      </c>
      <c r="I52" t="str">
        <f t="shared" si="8"/>
        <v>S2_Ret_WT_S2_R1_001.fastq.gz</v>
      </c>
      <c r="J52" t="str">
        <f t="shared" si="9"/>
        <v>S2_Ret_WT_S2_R2_001.fastq.gz</v>
      </c>
      <c r="K52" s="11">
        <v>3</v>
      </c>
      <c r="L52" s="10" t="s">
        <v>190</v>
      </c>
      <c r="O52" s="14" t="str">
        <f>"preprocessing_230707/"&amp;A52&amp;"/outputs/40hisat2_mm38_100/mm38_100_genome-paired_sreverse_gene_ID.count.xz"</f>
        <v>preprocessing_230707/S2_Ret_WT_S2/outputs/40hisat2_mm38_100/mm38_100_genome-paired_sreverse_gene_ID.count.xz</v>
      </c>
      <c r="P52" s="13"/>
      <c r="Q52" s="2">
        <v>29928850</v>
      </c>
      <c r="R52" s="2">
        <v>28113021</v>
      </c>
      <c r="S52">
        <f t="shared" si="12"/>
        <v>93.93</v>
      </c>
      <c r="V52" s="2"/>
    </row>
    <row r="53" spans="1:22" x14ac:dyDescent="0.2">
      <c r="A53" s="13" t="s">
        <v>184</v>
      </c>
      <c r="B53" s="11" t="s">
        <v>193</v>
      </c>
      <c r="C53" s="11" t="s">
        <v>25</v>
      </c>
      <c r="D53" s="11" t="s">
        <v>28</v>
      </c>
      <c r="E53" s="5">
        <v>10</v>
      </c>
      <c r="F53" s="11" t="s">
        <v>30</v>
      </c>
      <c r="G53" t="str">
        <f t="shared" si="10"/>
        <v>SCN_het</v>
      </c>
      <c r="H53" t="str">
        <f t="shared" si="11"/>
        <v>SCN_het</v>
      </c>
      <c r="I53" t="str">
        <f t="shared" ref="I53:I58" si="13">A53&amp;"_R1_001.fastq.gz"</f>
        <v>S2_SCN_Het_S20_R1_001.fastq.gz</v>
      </c>
      <c r="J53" t="str">
        <f t="shared" ref="J53:J58" si="14">A53&amp;"_R2_001.fastq.gz"</f>
        <v>S2_SCN_Het_S20_R2_001.fastq.gz</v>
      </c>
      <c r="K53" s="11">
        <v>3</v>
      </c>
      <c r="L53" s="10" t="s">
        <v>190</v>
      </c>
      <c r="O53" s="14" t="str">
        <f>"preprocessing_230707/"&amp;A53&amp;"/outputs/40hisat2_mm38_100/mm38_100_genome-paired_sreverse_gene_ID.count.xz"</f>
        <v>preprocessing_230707/S2_SCN_Het_S20/outputs/40hisat2_mm38_100/mm38_100_genome-paired_sreverse_gene_ID.count.xz</v>
      </c>
      <c r="P53" s="13"/>
      <c r="Q53" s="2">
        <v>21996065</v>
      </c>
      <c r="R53" s="2">
        <v>20623264</v>
      </c>
      <c r="S53">
        <f t="shared" si="12"/>
        <v>93.76</v>
      </c>
      <c r="V53" s="2"/>
    </row>
    <row r="54" spans="1:22" x14ac:dyDescent="0.2">
      <c r="A54" s="13" t="s">
        <v>185</v>
      </c>
      <c r="B54" s="11" t="s">
        <v>83</v>
      </c>
      <c r="C54" s="11" t="s">
        <v>158</v>
      </c>
      <c r="D54" s="11" t="s">
        <v>28</v>
      </c>
      <c r="E54" s="5">
        <v>3</v>
      </c>
      <c r="F54" s="11" t="s">
        <v>30</v>
      </c>
      <c r="G54" t="str">
        <f t="shared" si="10"/>
        <v>SCN_wt</v>
      </c>
      <c r="H54" t="str">
        <f t="shared" si="11"/>
        <v>SCN_wt</v>
      </c>
      <c r="I54" t="str">
        <f t="shared" si="13"/>
        <v>S2_SCN_WT_S16_R1_001.fastq.gz</v>
      </c>
      <c r="J54" t="str">
        <f t="shared" si="14"/>
        <v>S2_SCN_WT_S16_R2_001.fastq.gz</v>
      </c>
      <c r="K54" s="11">
        <v>3</v>
      </c>
      <c r="L54" s="10" t="s">
        <v>190</v>
      </c>
      <c r="O54" s="14" t="str">
        <f>"preprocessing_230707/"&amp;A54&amp;"/outputs/40hisat2_mm38_100/mm38_100_genome-paired_sreverse_gene_ID.count.xz"</f>
        <v>preprocessing_230707/S2_SCN_WT_S16/outputs/40hisat2_mm38_100/mm38_100_genome-paired_sreverse_gene_ID.count.xz</v>
      </c>
      <c r="P54" s="13"/>
      <c r="Q54" s="2">
        <v>25555455</v>
      </c>
      <c r="R54" s="2">
        <v>24123599</v>
      </c>
      <c r="S54">
        <f t="shared" si="12"/>
        <v>94.4</v>
      </c>
      <c r="V54" s="2"/>
    </row>
    <row r="55" spans="1:22" x14ac:dyDescent="0.2">
      <c r="A55" s="13" t="s">
        <v>186</v>
      </c>
      <c r="B55" s="11" t="s">
        <v>68</v>
      </c>
      <c r="C55" s="11" t="s">
        <v>25</v>
      </c>
      <c r="D55" s="11" t="s">
        <v>29</v>
      </c>
      <c r="E55" s="5">
        <v>11</v>
      </c>
      <c r="F55" s="11" t="s">
        <v>30</v>
      </c>
      <c r="G55" t="str">
        <f t="shared" si="10"/>
        <v>Retina_het</v>
      </c>
      <c r="H55" t="str">
        <f t="shared" si="11"/>
        <v>Retina_het</v>
      </c>
      <c r="I55" t="str">
        <f t="shared" si="13"/>
        <v>S3_Ret_Het_S7_R1_001.fastq.gz</v>
      </c>
      <c r="J55" t="str">
        <f t="shared" si="14"/>
        <v>S3_Ret_Het_S7_R2_001.fastq.gz</v>
      </c>
      <c r="K55" s="11">
        <v>3</v>
      </c>
      <c r="L55" s="10" t="s">
        <v>190</v>
      </c>
      <c r="O55" s="14" t="str">
        <f>"preprocessing_230707/"&amp;A55&amp;"/outputs/40hisat2_mm38_100/mm38_100_genome-paired_sreverse_gene_ID.count.xz"</f>
        <v>preprocessing_230707/S3_Ret_Het_S7/outputs/40hisat2_mm38_100/mm38_100_genome-paired_sreverse_gene_ID.count.xz</v>
      </c>
      <c r="P55" s="13"/>
      <c r="Q55" s="2">
        <v>26418853</v>
      </c>
      <c r="R55" s="2">
        <v>24974178</v>
      </c>
      <c r="S55">
        <f t="shared" si="12"/>
        <v>94.53</v>
      </c>
      <c r="V55" s="2"/>
    </row>
    <row r="56" spans="1:22" x14ac:dyDescent="0.2">
      <c r="A56" s="13" t="s">
        <v>187</v>
      </c>
      <c r="B56" s="11" t="s">
        <v>75</v>
      </c>
      <c r="C56" s="11" t="s">
        <v>158</v>
      </c>
      <c r="D56" s="11" t="s">
        <v>29</v>
      </c>
      <c r="E56" s="5">
        <v>4</v>
      </c>
      <c r="F56" s="11" t="s">
        <v>30</v>
      </c>
      <c r="G56" t="str">
        <f t="shared" si="10"/>
        <v>Retina_wt</v>
      </c>
      <c r="H56" t="str">
        <f t="shared" si="11"/>
        <v>Retina_wt</v>
      </c>
      <c r="I56" t="str">
        <f t="shared" si="13"/>
        <v>S3_Ret_WT_S3_R1_001.fastq.gz</v>
      </c>
      <c r="J56" t="str">
        <f t="shared" si="14"/>
        <v>S3_Ret_WT_S3_R2_001.fastq.gz</v>
      </c>
      <c r="K56" s="11">
        <v>3</v>
      </c>
      <c r="L56" s="10" t="s">
        <v>190</v>
      </c>
      <c r="O56" s="14" t="str">
        <f>"preprocessing_230707/"&amp;A56&amp;"/outputs/40hisat2_mm38_100/mm38_100_genome-paired_sreverse_gene_ID.count.xz"</f>
        <v>preprocessing_230707/S3_Ret_WT_S3/outputs/40hisat2_mm38_100/mm38_100_genome-paired_sreverse_gene_ID.count.xz</v>
      </c>
      <c r="P56" s="13"/>
      <c r="Q56" s="2">
        <v>25258184</v>
      </c>
      <c r="R56" s="2">
        <v>23812942</v>
      </c>
      <c r="S56">
        <f t="shared" si="12"/>
        <v>94.28</v>
      </c>
      <c r="V56" s="2"/>
    </row>
    <row r="57" spans="1:22" x14ac:dyDescent="0.2">
      <c r="A57" s="13" t="s">
        <v>188</v>
      </c>
      <c r="B57" s="11" t="s">
        <v>194</v>
      </c>
      <c r="C57" s="11" t="s">
        <v>25</v>
      </c>
      <c r="D57" s="11" t="s">
        <v>28</v>
      </c>
      <c r="E57" s="5">
        <v>11</v>
      </c>
      <c r="F57" s="11" t="s">
        <v>30</v>
      </c>
      <c r="G57" t="str">
        <f t="shared" si="10"/>
        <v>SCN_het</v>
      </c>
      <c r="H57" t="str">
        <f t="shared" si="11"/>
        <v>SCN_het</v>
      </c>
      <c r="I57" t="str">
        <f t="shared" si="13"/>
        <v>S3_SCN_Het_S21_R1_001.fastq.gz</v>
      </c>
      <c r="J57" t="str">
        <f t="shared" si="14"/>
        <v>S3_SCN_Het_S21_R2_001.fastq.gz</v>
      </c>
      <c r="K57" s="11">
        <v>3</v>
      </c>
      <c r="L57" s="10" t="s">
        <v>190</v>
      </c>
      <c r="O57" s="14" t="str">
        <f>"preprocessing_230707/"&amp;A57&amp;"/outputs/40hisat2_mm38_100/mm38_100_genome-paired_sreverse_gene_ID.count.xz"</f>
        <v>preprocessing_230707/S3_SCN_Het_S21/outputs/40hisat2_mm38_100/mm38_100_genome-paired_sreverse_gene_ID.count.xz</v>
      </c>
      <c r="P57" s="13"/>
      <c r="Q57" s="2">
        <v>21166337</v>
      </c>
      <c r="R57" s="2">
        <v>20007960</v>
      </c>
      <c r="S57">
        <f t="shared" si="12"/>
        <v>94.53</v>
      </c>
      <c r="V57" s="2"/>
    </row>
    <row r="58" spans="1:22" x14ac:dyDescent="0.2">
      <c r="A58" s="13" t="s">
        <v>189</v>
      </c>
      <c r="B58" s="11" t="s">
        <v>82</v>
      </c>
      <c r="C58" s="11" t="s">
        <v>158</v>
      </c>
      <c r="D58" s="11" t="s">
        <v>28</v>
      </c>
      <c r="E58" s="5">
        <v>4</v>
      </c>
      <c r="F58" s="11" t="s">
        <v>30</v>
      </c>
      <c r="G58" t="str">
        <f t="shared" si="10"/>
        <v>SCN_wt</v>
      </c>
      <c r="H58" t="str">
        <f t="shared" si="11"/>
        <v>SCN_wt</v>
      </c>
      <c r="I58" t="str">
        <f t="shared" si="13"/>
        <v>S3_SCN_WT_S17_R1_001.fastq.gz</v>
      </c>
      <c r="J58" t="str">
        <f t="shared" si="14"/>
        <v>S3_SCN_WT_S17_R2_001.fastq.gz</v>
      </c>
      <c r="K58" s="11">
        <v>3</v>
      </c>
      <c r="L58" s="10" t="s">
        <v>190</v>
      </c>
      <c r="O58" s="14" t="str">
        <f>"preprocessing_230707/"&amp;A58&amp;"/outputs/40hisat2_mm38_100/mm38_100_genome-paired_sreverse_gene_ID.count.xz"</f>
        <v>preprocessing_230707/S3_SCN_WT_S17/outputs/40hisat2_mm38_100/mm38_100_genome-paired_sreverse_gene_ID.count.xz</v>
      </c>
      <c r="P58" s="13"/>
      <c r="Q58" s="2">
        <v>22083954</v>
      </c>
      <c r="R58" s="2">
        <v>20819460</v>
      </c>
      <c r="S58">
        <f t="shared" si="12"/>
        <v>94.27</v>
      </c>
      <c r="V58" s="2"/>
    </row>
  </sheetData>
  <sortState xmlns:xlrd2="http://schemas.microsoft.com/office/spreadsheetml/2017/richdata2" ref="A2:AA19">
    <sortCondition ref="A3:A19"/>
  </sortState>
  <conditionalFormatting sqref="A1:A1048576">
    <cfRule type="duplicateValues" dxfId="4" priority="3"/>
  </conditionalFormatting>
  <conditionalFormatting sqref="A59:A1048576 A1:A37">
    <cfRule type="duplicateValues" dxfId="3" priority="5"/>
  </conditionalFormatting>
  <conditionalFormatting sqref="A20:B30 B31:B37 B39:B58">
    <cfRule type="duplicateValues" dxfId="2" priority="7"/>
  </conditionalFormatting>
  <conditionalFormatting sqref="P38:P42">
    <cfRule type="duplicateValues" dxfId="1" priority="1"/>
  </conditionalFormatting>
  <conditionalFormatting sqref="P43:P5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Theresa A Alexander</cp:lastModifiedBy>
  <dcterms:created xsi:type="dcterms:W3CDTF">2022-09-08T16:03:24Z</dcterms:created>
  <dcterms:modified xsi:type="dcterms:W3CDTF">2023-10-20T14:39:42Z</dcterms:modified>
</cp:coreProperties>
</file>